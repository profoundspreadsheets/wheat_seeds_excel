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628" codeName="{4D1C537B-E38A-612A-F078-A93A15B4B7F4}"/>
  <workbookPr codeName="DieseArbeitsmappe" defaultThemeVersion="166925"/>
  <mc:AlternateContent xmlns:mc="http://schemas.openxmlformats.org/markup-compatibility/2006">
    <mc:Choice Requires="x15">
      <x15ac:absPath xmlns:x15ac="http://schemas.microsoft.com/office/spreadsheetml/2010/11/ac" url="D:\NN\"/>
    </mc:Choice>
  </mc:AlternateContent>
  <xr:revisionPtr revIDLastSave="0" documentId="13_ncr:1_{9E8B9210-FCD9-4F83-8BA7-1A7F3AFA6AE6}" xr6:coauthVersionLast="46" xr6:coauthVersionMax="46" xr10:uidLastSave="{00000000-0000-0000-0000-000000000000}"/>
  <bookViews>
    <workbookView xWindow="-120" yWindow="-120" windowWidth="38640" windowHeight="21240" activeTab="1" xr2:uid="{8B94A119-3D95-49FA-88D7-427A8E3868A0}"/>
  </bookViews>
  <sheets>
    <sheet name="raw" sheetId="1" r:id="rId1"/>
    <sheet name="pred" sheetId="3" r:id="rId2"/>
    <sheet name="nn_base" sheetId="2" r:id="rId3"/>
  </sheets>
  <definedNames>
    <definedName name="bias_input">nn_base!$C$6:$C$12</definedName>
    <definedName name="count_correct">pred!$C$8</definedName>
    <definedName name="count_false">pred!$C$9</definedName>
    <definedName name="error">nn_base!$Z$6:$Z$8</definedName>
    <definedName name="gradients_hidden">nn_base!$H$11:$N$13</definedName>
    <definedName name="guesses">nn_base!$W$6:$W$8</definedName>
    <definedName name="iterations">pred!$C$7</definedName>
    <definedName name="learning_rate">nn_base!$H$2</definedName>
    <definedName name="new_weights_hidden">nn_base!$H$16:$N$18</definedName>
    <definedName name="preditctor">pred!$C$4</definedName>
    <definedName name="rawData">raw!$A$2:$H$211</definedName>
    <definedName name="target">pred!$C$3</definedName>
    <definedName name="weights_hidden">nn_base!$H$6:$N$8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3" i="2" l="1"/>
  <c r="D8" i="3"/>
  <c r="D9" i="3" s="1"/>
  <c r="C2" i="3"/>
  <c r="F2" i="3" s="1" a="1"/>
  <c r="F2" i="3" s="1"/>
  <c r="K2" i="3" l="1" a="1"/>
  <c r="K2" i="3" s="1"/>
  <c r="I2" i="3" a="1"/>
  <c r="I2" i="3" s="1"/>
  <c r="G2" i="3" a="1"/>
  <c r="G2" i="3" s="1"/>
  <c r="L2" i="3" a="1"/>
  <c r="L2" i="3" s="1"/>
  <c r="J2" i="3" a="1"/>
  <c r="J2" i="3" s="1"/>
  <c r="H2" i="3" a="1"/>
  <c r="H2" i="3" s="1"/>
  <c r="C3" i="3" l="1" a="1"/>
  <c r="C3" i="3" s="1"/>
  <c r="Y7" i="2" l="1"/>
  <c r="Y8" i="2"/>
  <c r="X6" i="2"/>
  <c r="Y6" i="2"/>
  <c r="X7" i="2"/>
  <c r="X8" i="2"/>
  <c r="B6" i="2" a="1"/>
  <c r="B6" i="2" s="1"/>
  <c r="D6" i="2" s="1"/>
  <c r="E6" i="2" s="1"/>
  <c r="B9" i="2" l="1"/>
  <c r="D9" i="2" s="1"/>
  <c r="E9" i="2" s="1"/>
  <c r="B10" i="2"/>
  <c r="D10" i="2" s="1"/>
  <c r="E10" i="2" s="1"/>
  <c r="B8" i="2"/>
  <c r="D8" i="2" s="1"/>
  <c r="E8" i="2" s="1"/>
  <c r="B7" i="2"/>
  <c r="D7" i="2" s="1"/>
  <c r="E7" i="2" s="1"/>
  <c r="B12" i="2"/>
  <c r="D12" i="2" s="1"/>
  <c r="E12" i="2" s="1"/>
  <c r="B11" i="2"/>
  <c r="D11" i="2" s="1"/>
  <c r="E11" i="2" s="1"/>
  <c r="H10" i="2" l="1" a="1"/>
  <c r="H10" i="2" s="1"/>
  <c r="Q6" i="2" a="1"/>
  <c r="L10" i="2" l="1"/>
  <c r="N10" i="2"/>
  <c r="K10" i="2"/>
  <c r="I10" i="2"/>
  <c r="J10" i="2"/>
  <c r="M10" i="2"/>
  <c r="Q6" i="2"/>
  <c r="S6" i="2" s="1"/>
  <c r="T6" i="2" s="1"/>
  <c r="Q8" i="2"/>
  <c r="S8" i="2" s="1"/>
  <c r="T8" i="2" s="1"/>
  <c r="Q7" i="2"/>
  <c r="S7" i="2" s="1"/>
  <c r="T7" i="2" s="1"/>
  <c r="Q14" i="2" l="1"/>
  <c r="U6" i="2"/>
  <c r="Q16" i="2"/>
  <c r="U8" i="2"/>
  <c r="Q15" i="2"/>
  <c r="U7" i="2"/>
  <c r="W8" i="2" l="1"/>
  <c r="W7" i="2"/>
  <c r="W6" i="2"/>
  <c r="Z8" i="2" l="1"/>
  <c r="R16" i="2"/>
  <c r="P16" i="2" s="1"/>
  <c r="L13" i="2" s="1"/>
  <c r="L18" i="2" s="1"/>
  <c r="Z7" i="2"/>
  <c r="R15" i="2"/>
  <c r="P15" i="2" s="1"/>
  <c r="J12" i="2" s="1"/>
  <c r="J17" i="2" s="1"/>
  <c r="Z6" i="2"/>
  <c r="R14" i="2"/>
  <c r="P14" i="2" s="1"/>
  <c r="H11" i="2" s="1"/>
  <c r="H16" i="2" s="1"/>
  <c r="C4" i="3"/>
  <c r="N13" i="2" l="1"/>
  <c r="N18" i="2" s="1"/>
  <c r="I13" i="2"/>
  <c r="I18" i="2" s="1"/>
  <c r="J13" i="2"/>
  <c r="J18" i="2" s="1"/>
  <c r="K11" i="2"/>
  <c r="K16" i="2" s="1"/>
  <c r="L12" i="2"/>
  <c r="L17" i="2" s="1"/>
  <c r="I11" i="2"/>
  <c r="I16" i="2" s="1"/>
  <c r="H13" i="2"/>
  <c r="H18" i="2" s="1"/>
  <c r="N12" i="2"/>
  <c r="N17" i="2" s="1"/>
  <c r="M13" i="2"/>
  <c r="M18" i="2" s="1"/>
  <c r="K13" i="2"/>
  <c r="K18" i="2" s="1"/>
  <c r="I12" i="2"/>
  <c r="I17" i="2" s="1"/>
  <c r="M12" i="2"/>
  <c r="M17" i="2" s="1"/>
  <c r="K12" i="2"/>
  <c r="K17" i="2" s="1"/>
  <c r="H12" i="2"/>
  <c r="H17" i="2" s="1"/>
  <c r="J11" i="2"/>
  <c r="J16" i="2" s="1"/>
  <c r="M11" i="2"/>
  <c r="M16" i="2" s="1"/>
  <c r="L11" i="2"/>
  <c r="L16" i="2" s="1"/>
  <c r="N11" i="2"/>
  <c r="N16" i="2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<sst xmlns="http://schemas.openxmlformats.org/spreadsheetml/2006/main" count="65" uniqueCount="62">
  <si>
    <t>Column1</t>
  </si>
  <si>
    <t>Column2</t>
  </si>
  <si>
    <t>Column3</t>
  </si>
  <si>
    <t>Column4</t>
  </si>
  <si>
    <t>Column5</t>
  </si>
  <si>
    <t>Column6</t>
  </si>
  <si>
    <t>Column7</t>
  </si>
  <si>
    <t>Out</t>
  </si>
  <si>
    <t>input layer</t>
  </si>
  <si>
    <t>weights</t>
  </si>
  <si>
    <t>Out_1</t>
  </si>
  <si>
    <t>W1</t>
  </si>
  <si>
    <t>W2</t>
  </si>
  <si>
    <t>W3</t>
  </si>
  <si>
    <t>W4</t>
  </si>
  <si>
    <t>W5</t>
  </si>
  <si>
    <t>W6</t>
  </si>
  <si>
    <t>W7</t>
  </si>
  <si>
    <t>Out_2</t>
  </si>
  <si>
    <t>Out_3</t>
  </si>
  <si>
    <t>output</t>
  </si>
  <si>
    <t>O1</t>
  </si>
  <si>
    <t>O2</t>
  </si>
  <si>
    <t>O3</t>
  </si>
  <si>
    <t>sum_matrx</t>
  </si>
  <si>
    <t>bias</t>
  </si>
  <si>
    <t>net</t>
  </si>
  <si>
    <t>sigmoid</t>
  </si>
  <si>
    <t>is_max</t>
  </si>
  <si>
    <t>classification</t>
  </si>
  <si>
    <t>error</t>
  </si>
  <si>
    <t>error pro neuron ist: error = (expected - output) * error_derivative(output) | error_der = output * ( 1 - output) wegen sigmoid funktion</t>
  </si>
  <si>
    <t>gradients</t>
  </si>
  <si>
    <t>out_3_gr</t>
  </si>
  <si>
    <t>out_1_gr</t>
  </si>
  <si>
    <t>out_2_gr</t>
  </si>
  <si>
    <t>sigmoid_out</t>
  </si>
  <si>
    <t>dError/dactivation</t>
  </si>
  <si>
    <t>dactivation/dweight</t>
  </si>
  <si>
    <t>dError/dweight</t>
  </si>
  <si>
    <t>new_weights</t>
  </si>
  <si>
    <t>learn rate</t>
  </si>
  <si>
    <t>out_1_new</t>
  </si>
  <si>
    <t>out_2_new</t>
  </si>
  <si>
    <t>out_3_new</t>
  </si>
  <si>
    <t>area</t>
  </si>
  <si>
    <t>perimeter</t>
  </si>
  <si>
    <t>compactness</t>
  </si>
  <si>
    <t>length_kernel</t>
  </si>
  <si>
    <t>width_kernel</t>
  </si>
  <si>
    <t>asymmetry_coef</t>
  </si>
  <si>
    <t>lengt_kernelgroove</t>
  </si>
  <si>
    <t>count_iter</t>
  </si>
  <si>
    <t>count_correct</t>
  </si>
  <si>
    <t>count_wrong</t>
  </si>
  <si>
    <t>predicted</t>
  </si>
  <si>
    <t>expected</t>
  </si>
  <si>
    <t>row</t>
  </si>
  <si>
    <t>data</t>
  </si>
  <si>
    <t>max in data</t>
  </si>
  <si>
    <t>target_bool</t>
  </si>
  <si>
    <t>target_abs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</si>
</sst>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0"/>
      <color theme="0"/>
      <name val="Arial Unicode MS"/>
      <family val="2"/>
    </font>
    <font>
      <sz val="11"/>
      <color theme="2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9"/>
        <bgColor theme="9"/>
      </patternFill>
    </fill>
  </fills>
  <borders count="5">
    <border>
      <left/>
      <right/>
      <top/>
      <bottom/>
      <diagonal/>
    </border>
    <border>
      <left style="thin">
        <color theme="9" tint="0.39997558519241921"/>
      </left>
      <right/>
      <top style="thin">
        <color theme="9" tint="0.39997558519241921"/>
      </top>
      <bottom/>
      <diagonal/>
    </border>
    <border>
      <left/>
      <right/>
      <top style="thin">
        <color theme="9" tint="0.39997558519241921"/>
      </top>
      <bottom/>
      <diagonal/>
    </border>
    <border>
      <left/>
      <right style="thin">
        <color theme="9" tint="0.39997558519241921"/>
      </right>
      <top style="thin">
        <color theme="9" tint="0.39997558519241921"/>
      </top>
      <bottom/>
      <diagonal/>
    </border>
    <border>
      <left/>
      <right style="thin">
        <color indexed="64"/>
      </right>
      <top/>
      <bottom/>
      <diagonal/>
    </border>
  </borders>
  <cellStyleXfs count="2">
    <xf numFmtId="0" fontId="0" fillId="0" borderId="0"/>
    <xf numFmtId="9" fontId="5" fillId="0" borderId="0" applyFont="0" applyFill="0" applyBorder="0" applyAlignment="0" applyProtection="0"/>
  </cellStyleXfs>
  <cellXfs count="12">
    <xf numFmtId="0" fontId="0" fillId="0" borderId="0" xfId="0"/>
    <xf numFmtId="2" fontId="2" fillId="2" borderId="1" xfId="0" applyNumberFormat="1" applyFont="1" applyFill="1" applyBorder="1" applyAlignment="1">
      <alignment horizontal="center" vertical="center"/>
    </xf>
    <xf numFmtId="2" fontId="1" fillId="2" borderId="2" xfId="0" applyNumberFormat="1" applyFont="1" applyFill="1" applyBorder="1" applyAlignment="1">
      <alignment horizontal="center"/>
    </xf>
    <xf numFmtId="2" fontId="0" fillId="0" borderId="0" xfId="0" applyNumberFormat="1"/>
    <xf numFmtId="1" fontId="0" fillId="0" borderId="0" xfId="0" applyNumberFormat="1"/>
    <xf numFmtId="0" fontId="3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0" fillId="0" borderId="4" xfId="0" applyBorder="1" applyAlignment="1">
      <alignment horizontal="center"/>
    </xf>
    <xf numFmtId="0" fontId="0" fillId="0" borderId="4" xfId="0" applyBorder="1"/>
    <xf numFmtId="9" fontId="0" fillId="0" borderId="0" xfId="1" applyFont="1"/>
    <xf numFmtId="2" fontId="1" fillId="2" borderId="0" xfId="0" applyNumberFormat="1" applyFont="1" applyFill="1" applyBorder="1" applyAlignment="1">
      <alignment horizontal="center"/>
    </xf>
    <xf numFmtId="2" fontId="1" fillId="2" borderId="3" xfId="0" applyNumberFormat="1" applyFont="1" applyFill="1" applyBorder="1" applyAlignment="1">
      <alignment horizontal="center"/>
    </xf>
  </cellXfs>
  <cellStyles count="2">
    <cellStyle name="Prozent" xfId="1" builtinId="5"/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ustomXml" Target="../customXml/item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B47C4AD5-D1BA-49A0-AC14-D631EECA8444}" type="CELLRANGE">
                      <a:rPr lang="en-US"/>
                      <a:pPr/>
                      <a:t>[ZELLBEREICH]</a:t>
                    </a:fld>
                    <a:endParaRPr lang="de-DE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3D28-48FB-8FCE-666636A56A27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0EAC5AA5-FBAF-490C-9168-4D189A8E2B19}" type="CELLRANGE">
                      <a:rPr lang="en-US"/>
                      <a:pPr/>
                      <a:t>[ZELLBEREICH]</a:t>
                    </a:fld>
                    <a:endParaRPr lang="de-DE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3D28-48FB-8FCE-666636A56A27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D2B7E0A6-63B6-48E6-AB4B-5D5C983E6492}" type="CELLRANGE">
                      <a:rPr lang="en-US"/>
                      <a:pPr/>
                      <a:t>[ZELLBEREICH]</a:t>
                    </a:fld>
                    <a:endParaRPr lang="de-DE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3D28-48FB-8FCE-666636A56A27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D74881CA-88C7-4647-9A7B-C6609CAD86BC}" type="CELLRANGE">
                      <a:rPr lang="en-US"/>
                      <a:pPr/>
                      <a:t>[ZELLBEREICH]</a:t>
                    </a:fld>
                    <a:endParaRPr lang="de-DE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6-3D28-48FB-8FCE-666636A56A27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48EF5B97-237A-4E7A-9747-24D118EA12B2}" type="CELLRANGE">
                      <a:rPr lang="en-US"/>
                      <a:pPr/>
                      <a:t>[ZELLBEREICH]</a:t>
                    </a:fld>
                    <a:endParaRPr lang="de-DE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7-3D28-48FB-8FCE-666636A56A27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71CA9250-2F3F-4857-AA0E-C03BB497F8DE}" type="CELLRANGE">
                      <a:rPr lang="en-US"/>
                      <a:pPr/>
                      <a:t>[ZELLBEREICH]</a:t>
                    </a:fld>
                    <a:endParaRPr lang="de-DE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8-3D28-48FB-8FCE-666636A56A27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F719E624-EDFD-4D68-A842-16F7F7EE993F}" type="CELLRANGE">
                      <a:rPr lang="en-US"/>
                      <a:pPr/>
                      <a:t>[ZELLBEREICH]</a:t>
                    </a:fld>
                    <a:endParaRPr lang="de-DE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9-3D28-48FB-8FCE-666636A56A27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26444D68-843E-4E1B-9A8D-782999F334B6}" type="CELLRANGE">
                      <a:rPr lang="en-US"/>
                      <a:pPr/>
                      <a:t>[ZELLBEREICH]</a:t>
                    </a:fld>
                    <a:endParaRPr lang="de-DE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A-3D28-48FB-8FCE-666636A56A27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6CF33205-A1AA-40FD-92C8-168F976B4932}" type="CELLRANGE">
                      <a:rPr lang="en-US"/>
                      <a:pPr/>
                      <a:t>[ZELLBEREICH]</a:t>
                    </a:fld>
                    <a:endParaRPr lang="de-DE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B-3D28-48FB-8FCE-666636A56A27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465D60EF-4F80-40E0-B5E4-7A9AF31105D1}" type="CELLRANGE">
                      <a:rPr lang="en-US"/>
                      <a:pPr/>
                      <a:t>[ZELLBEREICH]</a:t>
                    </a:fld>
                    <a:endParaRPr lang="de-DE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C-3D28-48FB-8FCE-666636A56A27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1CFA077E-ACA3-4C6C-8CDB-D41C4A483026}" type="CELLRANGE">
                      <a:rPr lang="en-US"/>
                      <a:pPr/>
                      <a:t>[ZELLBEREICH]</a:t>
                    </a:fld>
                    <a:endParaRPr lang="de-DE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D-3D28-48FB-8FCE-666636A56A27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440E9847-F362-4C87-A61D-FB0791ADEDA9}" type="CELLRANGE">
                      <a:rPr lang="en-US"/>
                      <a:pPr/>
                      <a:t>[ZELLBEREICH]</a:t>
                    </a:fld>
                    <a:endParaRPr lang="de-DE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E-3D28-48FB-8FCE-666636A56A27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5FCF3B8D-2970-43D5-9666-7E463654033E}" type="CELLRANGE">
                      <a:rPr lang="en-US"/>
                      <a:pPr/>
                      <a:t>[ZELLBEREICH]</a:t>
                    </a:fld>
                    <a:endParaRPr lang="de-DE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F-3D28-48FB-8FCE-666636A56A27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D928C8B5-07A3-4518-B607-D42EA7DC5D74}" type="CELLRANGE">
                      <a:rPr lang="en-US"/>
                      <a:pPr/>
                      <a:t>[ZELLBEREICH]</a:t>
                    </a:fld>
                    <a:endParaRPr lang="de-DE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10-3D28-48FB-8FCE-666636A56A27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6D2F7269-9620-444F-B410-C8FF2D976295}" type="CELLRANGE">
                      <a:rPr lang="en-US"/>
                      <a:pPr/>
                      <a:t>[ZELLBEREICH]</a:t>
                    </a:fld>
                    <a:endParaRPr lang="de-DE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11-3D28-48FB-8FCE-666636A56A27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B52D7E64-ECC6-440B-AA05-241DF2145234}" type="CELLRANGE">
                      <a:rPr lang="en-US"/>
                      <a:pPr/>
                      <a:t>[ZELLBEREICH]</a:t>
                    </a:fld>
                    <a:endParaRPr lang="de-DE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12-3D28-48FB-8FCE-666636A56A27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EEC52550-D094-47AC-855E-D623C2782398}" type="CELLRANGE">
                      <a:rPr lang="en-US"/>
                      <a:pPr/>
                      <a:t>[ZELLBEREICH]</a:t>
                    </a:fld>
                    <a:endParaRPr lang="de-DE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13-3D28-48FB-8FCE-666636A56A27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C49D7A77-69E5-4958-B7E2-21E8DBA58D17}" type="CELLRANGE">
                      <a:rPr lang="en-US"/>
                      <a:pPr/>
                      <a:t>[ZELLBEREICH]</a:t>
                    </a:fld>
                    <a:endParaRPr lang="de-DE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14-3D28-48FB-8FCE-666636A56A27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759D4418-9DCD-435A-AF85-221FB8DA484B}" type="CELLRANGE">
                      <a:rPr lang="en-US"/>
                      <a:pPr/>
                      <a:t>[ZELLBEREICH]</a:t>
                    </a:fld>
                    <a:endParaRPr lang="de-DE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15-3D28-48FB-8FCE-666636A56A27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22385809-4459-41F9-82E1-D12C951A4DF2}" type="CELLRANGE">
                      <a:rPr lang="en-US"/>
                      <a:pPr/>
                      <a:t>[ZELLBEREICH]</a:t>
                    </a:fld>
                    <a:endParaRPr lang="de-DE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16-3D28-48FB-8FCE-666636A56A27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DF574D75-C48F-42BE-9AD6-9DDC5B1EF73F}" type="CELLRANGE">
                      <a:rPr lang="en-US"/>
                      <a:pPr/>
                      <a:t>[ZELLBEREICH]</a:t>
                    </a:fld>
                    <a:endParaRPr lang="de-DE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17-3D28-48FB-8FCE-666636A56A27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B4692DE9-9065-4EEE-8E39-CC7113E6E186}" type="CELLRANGE">
                      <a:rPr lang="en-US"/>
                      <a:pPr/>
                      <a:t>[ZELLBEREICH]</a:t>
                    </a:fld>
                    <a:endParaRPr lang="de-DE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18-3D28-48FB-8FCE-666636A56A27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5F1D7D53-617F-4FA9-BE5F-B8042F8C5115}" type="CELLRANGE">
                      <a:rPr lang="en-US"/>
                      <a:pPr/>
                      <a:t>[ZELLBEREICH]</a:t>
                    </a:fld>
                    <a:endParaRPr lang="de-DE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19-3D28-48FB-8FCE-666636A56A27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2AFA6182-621C-4B8A-B184-EFC334E86C0D}" type="CELLRANGE">
                      <a:rPr lang="en-US"/>
                      <a:pPr/>
                      <a:t>[ZELLBEREICH]</a:t>
                    </a:fld>
                    <a:endParaRPr lang="de-DE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1A-3D28-48FB-8FCE-666636A56A27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ECA20F65-EF20-4A37-B2DF-12D7BCAA6C41}" type="CELLRANGE">
                      <a:rPr lang="en-US"/>
                      <a:pPr/>
                      <a:t>[ZELLBEREICH]</a:t>
                    </a:fld>
                    <a:endParaRPr lang="de-DE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1B-3D28-48FB-8FCE-666636A56A27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228D0A34-F19F-426F-B306-73C38AB8160F}" type="CELLRANGE">
                      <a:rPr lang="en-US"/>
                      <a:pPr/>
                      <a:t>[ZELLBEREICH]</a:t>
                    </a:fld>
                    <a:endParaRPr lang="de-DE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1C-3D28-48FB-8FCE-666636A56A27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CB64A996-5150-43A6-ACB4-71DE99542839}" type="CELLRANGE">
                      <a:rPr lang="en-US"/>
                      <a:pPr/>
                      <a:t>[ZELLBEREICH]</a:t>
                    </a:fld>
                    <a:endParaRPr lang="de-DE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1D-3D28-48FB-8FCE-666636A56A27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6F0E6112-2A6C-4824-8873-2E9274AD247B}" type="CELLRANGE">
                      <a:rPr lang="en-US"/>
                      <a:pPr/>
                      <a:t>[ZELLBEREICH]</a:t>
                    </a:fld>
                    <a:endParaRPr lang="de-DE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1E-3D28-48FB-8FCE-666636A56A27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AC259E81-AB66-4AB7-9569-F070F3703A85}" type="CELLRANGE">
                      <a:rPr lang="en-US"/>
                      <a:pPr/>
                      <a:t>[ZELLBEREICH]</a:t>
                    </a:fld>
                    <a:endParaRPr lang="de-DE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1F-3D28-48FB-8FCE-666636A56A27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423E7A87-3F2A-4A05-91A7-CCEBEE7E9DAE}" type="CELLRANGE">
                      <a:rPr lang="en-US"/>
                      <a:pPr/>
                      <a:t>[ZELLBEREICH]</a:t>
                    </a:fld>
                    <a:endParaRPr lang="de-DE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20-3D28-48FB-8FCE-666636A56A27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C54BF0D3-7337-40BE-8550-7325AE4E22AB}" type="CELLRANGE">
                      <a:rPr lang="en-US"/>
                      <a:pPr/>
                      <a:t>[ZELLBEREICH]</a:t>
                    </a:fld>
                    <a:endParaRPr lang="de-DE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21-3D28-48FB-8FCE-666636A56A27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0A74820E-D393-4C37-B58F-4A36B95A7CFC}" type="CELLRANGE">
                      <a:rPr lang="en-US"/>
                      <a:pPr/>
                      <a:t>[ZELLBEREICH]</a:t>
                    </a:fld>
                    <a:endParaRPr lang="de-DE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22-3D28-48FB-8FCE-666636A56A27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B9807FD6-F4A1-480E-A334-E2C3AFE5E04C}" type="CELLRANGE">
                      <a:rPr lang="en-US"/>
                      <a:pPr/>
                      <a:t>[ZELLBEREICH]</a:t>
                    </a:fld>
                    <a:endParaRPr lang="de-DE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23-3D28-48FB-8FCE-666636A56A27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70D47A4C-FD64-4F75-A084-AE883AB11D50}" type="CELLRANGE">
                      <a:rPr lang="en-US"/>
                      <a:pPr/>
                      <a:t>[ZELLBEREICH]</a:t>
                    </a:fld>
                    <a:endParaRPr lang="de-DE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24-3D28-48FB-8FCE-666636A56A27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59CFD4D1-4D0C-499D-A6B2-75AFCEB89102}" type="CELLRANGE">
                      <a:rPr lang="en-US"/>
                      <a:pPr/>
                      <a:t>[ZELLBEREICH]</a:t>
                    </a:fld>
                    <a:endParaRPr lang="de-DE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25-3D28-48FB-8FCE-666636A56A27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CD4F6584-915D-4CE3-AE00-93823D874509}" type="CELLRANGE">
                      <a:rPr lang="en-US"/>
                      <a:pPr/>
                      <a:t>[ZELLBEREICH]</a:t>
                    </a:fld>
                    <a:endParaRPr lang="de-DE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26-3D28-48FB-8FCE-666636A56A27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EE1B4B2D-A290-40DF-B6CE-EA0A710F98DC}" type="CELLRANGE">
                      <a:rPr lang="en-US"/>
                      <a:pPr/>
                      <a:t>[ZELLBEREICH]</a:t>
                    </a:fld>
                    <a:endParaRPr lang="de-DE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27-3D28-48FB-8FCE-666636A56A27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52E14064-5A10-459A-BAAC-CDC431AD0DE4}" type="CELLRANGE">
                      <a:rPr lang="en-US"/>
                      <a:pPr/>
                      <a:t>[ZELLBEREICH]</a:t>
                    </a:fld>
                    <a:endParaRPr lang="de-DE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28-3D28-48FB-8FCE-666636A56A27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B4613A05-7F56-4015-9A67-71152DE71DBD}" type="CELLRANGE">
                      <a:rPr lang="en-US"/>
                      <a:pPr/>
                      <a:t>[ZELLBEREICH]</a:t>
                    </a:fld>
                    <a:endParaRPr lang="de-DE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29-3D28-48FB-8FCE-666636A56A27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3CCE4706-E9B0-462F-A2A4-08CB6BB9B2E3}" type="CELLRANGE">
                      <a:rPr lang="en-US"/>
                      <a:pPr/>
                      <a:t>[ZELLBEREICH]</a:t>
                    </a:fld>
                    <a:endParaRPr lang="de-DE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2A-3D28-48FB-8FCE-666636A56A27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B4B04BE8-11B0-4C21-8732-61EF8B76C434}" type="CELLRANGE">
                      <a:rPr lang="en-US"/>
                      <a:pPr/>
                      <a:t>[ZELLBEREICH]</a:t>
                    </a:fld>
                    <a:endParaRPr lang="de-DE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2B-3D28-48FB-8FCE-666636A56A27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C552A640-A78B-44DB-85E8-D709148C033D}" type="CELLRANGE">
                      <a:rPr lang="en-US"/>
                      <a:pPr/>
                      <a:t>[ZELLBEREICH]</a:t>
                    </a:fld>
                    <a:endParaRPr lang="de-DE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2C-3D28-48FB-8FCE-666636A56A27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3F870D53-BD34-4447-9E29-0D60702BDBF2}" type="CELLRANGE">
                      <a:rPr lang="en-US"/>
                      <a:pPr/>
                      <a:t>[ZELLBEREICH]</a:t>
                    </a:fld>
                    <a:endParaRPr lang="de-DE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2D-3D28-48FB-8FCE-666636A56A27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A65543DF-2A5A-4FB2-94C9-B3C8436F9F59}" type="CELLRANGE">
                      <a:rPr lang="en-US"/>
                      <a:pPr/>
                      <a:t>[ZELLBEREICH]</a:t>
                    </a:fld>
                    <a:endParaRPr lang="de-DE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2E-3D28-48FB-8FCE-666636A56A27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0E9F249B-2184-405C-AD62-1463E5A50DF6}" type="CELLRANGE">
                      <a:rPr lang="en-US"/>
                      <a:pPr/>
                      <a:t>[ZELLBEREICH]</a:t>
                    </a:fld>
                    <a:endParaRPr lang="de-DE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2F-3D28-48FB-8FCE-666636A56A27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850A249F-D618-4E1A-A8A7-0D78469B30A6}" type="CELLRANGE">
                      <a:rPr lang="en-US"/>
                      <a:pPr/>
                      <a:t>[ZELLBEREICH]</a:t>
                    </a:fld>
                    <a:endParaRPr lang="de-DE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30-3D28-48FB-8FCE-666636A56A27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6AE71185-9143-4454-8C63-0783FA53BE19}" type="CELLRANGE">
                      <a:rPr lang="en-US"/>
                      <a:pPr/>
                      <a:t>[ZELLBEREICH]</a:t>
                    </a:fld>
                    <a:endParaRPr lang="de-DE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31-3D28-48FB-8FCE-666636A56A27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AA0C4E6A-6D8D-4CFF-AC42-AFD64C786660}" type="CELLRANGE">
                      <a:rPr lang="en-US"/>
                      <a:pPr/>
                      <a:t>[ZELLBEREICH]</a:t>
                    </a:fld>
                    <a:endParaRPr lang="de-DE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32-3D28-48FB-8FCE-666636A56A27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1B9D0A74-9A40-4FE5-A474-77913481D807}" type="CELLRANGE">
                      <a:rPr lang="en-US"/>
                      <a:pPr/>
                      <a:t>[ZELLBEREICH]</a:t>
                    </a:fld>
                    <a:endParaRPr lang="de-DE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33-3D28-48FB-8FCE-666636A56A27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45491A58-98A6-4AD3-918D-AF5A64E4CF0C}" type="CELLRANGE">
                      <a:rPr lang="en-US"/>
                      <a:pPr/>
                      <a:t>[ZELLBEREICH]</a:t>
                    </a:fld>
                    <a:endParaRPr lang="de-DE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34-3D28-48FB-8FCE-666636A56A27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0F3E2C59-42AA-4D76-B13E-A5C59F0D7E7C}" type="CELLRANGE">
                      <a:rPr lang="en-US"/>
                      <a:pPr/>
                      <a:t>[ZELLBEREICH]</a:t>
                    </a:fld>
                    <a:endParaRPr lang="de-DE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35-3D28-48FB-8FCE-666636A56A27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08BD8F97-80ED-4CDC-AF4C-2E0BBD903C56}" type="CELLRANGE">
                      <a:rPr lang="en-US"/>
                      <a:pPr/>
                      <a:t>[ZELLBEREICH]</a:t>
                    </a:fld>
                    <a:endParaRPr lang="de-DE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36-3D28-48FB-8FCE-666636A56A27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30E83B2E-3FDA-4423-8D21-3D94D06EE5EE}" type="CELLRANGE">
                      <a:rPr lang="en-US"/>
                      <a:pPr/>
                      <a:t>[ZELLBEREICH]</a:t>
                    </a:fld>
                    <a:endParaRPr lang="de-DE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37-3D28-48FB-8FCE-666636A56A27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6E358F53-A609-4D4C-8DD8-F6BA54AB9782}" type="CELLRANGE">
                      <a:rPr lang="en-US"/>
                      <a:pPr/>
                      <a:t>[ZELLBEREICH]</a:t>
                    </a:fld>
                    <a:endParaRPr lang="de-DE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38-3D28-48FB-8FCE-666636A56A27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CDD107C4-99EC-4EF1-BEAF-2B399E6DF605}" type="CELLRANGE">
                      <a:rPr lang="en-US"/>
                      <a:pPr/>
                      <a:t>[ZELLBEREICH]</a:t>
                    </a:fld>
                    <a:endParaRPr lang="de-DE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39-3D28-48FB-8FCE-666636A56A27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877005AB-9628-4624-B48E-7A7B9EEF77FC}" type="CELLRANGE">
                      <a:rPr lang="en-US"/>
                      <a:pPr/>
                      <a:t>[ZELLBEREICH]</a:t>
                    </a:fld>
                    <a:endParaRPr lang="de-DE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3A-3D28-48FB-8FCE-666636A56A27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4EE6B1F5-5BA5-4CA9-8A48-DA4303E609A0}" type="CELLRANGE">
                      <a:rPr lang="en-US"/>
                      <a:pPr/>
                      <a:t>[ZELLBEREICH]</a:t>
                    </a:fld>
                    <a:endParaRPr lang="de-DE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3B-3D28-48FB-8FCE-666636A56A27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C95DC665-0821-4F01-88A2-D0D6211E3110}" type="CELLRANGE">
                      <a:rPr lang="en-US"/>
                      <a:pPr/>
                      <a:t>[ZELLBEREICH]</a:t>
                    </a:fld>
                    <a:endParaRPr lang="de-DE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3C-3D28-48FB-8FCE-666636A56A27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AFF9EBD2-A800-44C5-BB73-96D2D087D3F0}" type="CELLRANGE">
                      <a:rPr lang="en-US"/>
                      <a:pPr/>
                      <a:t>[ZELLBEREICH]</a:t>
                    </a:fld>
                    <a:endParaRPr lang="de-DE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3D-3D28-48FB-8FCE-666636A56A27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81BE68D0-D6CC-431C-9681-8F4BA5AF9B18}" type="CELLRANGE">
                      <a:rPr lang="en-US"/>
                      <a:pPr/>
                      <a:t>[ZELLBEREICH]</a:t>
                    </a:fld>
                    <a:endParaRPr lang="de-DE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3E-3D28-48FB-8FCE-666636A56A27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C2B87345-CC25-4E43-A660-D787934427C5}" type="CELLRANGE">
                      <a:rPr lang="en-US"/>
                      <a:pPr/>
                      <a:t>[ZELLBEREICH]</a:t>
                    </a:fld>
                    <a:endParaRPr lang="de-DE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3F-3D28-48FB-8FCE-666636A56A27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8F09A2ED-7904-4840-8D80-C3738CA3C330}" type="CELLRANGE">
                      <a:rPr lang="en-US"/>
                      <a:pPr/>
                      <a:t>[ZELLBEREICH]</a:t>
                    </a:fld>
                    <a:endParaRPr lang="de-DE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40-3D28-48FB-8FCE-666636A56A27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B06E1C41-459A-4445-988C-E68AB636E5C1}" type="CELLRANGE">
                      <a:rPr lang="en-US"/>
                      <a:pPr/>
                      <a:t>[ZELLBEREICH]</a:t>
                    </a:fld>
                    <a:endParaRPr lang="de-DE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41-3D28-48FB-8FCE-666636A56A27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85C85BCD-6741-4479-908D-7F730DA506C3}" type="CELLRANGE">
                      <a:rPr lang="en-US"/>
                      <a:pPr/>
                      <a:t>[ZELLBEREICH]</a:t>
                    </a:fld>
                    <a:endParaRPr lang="de-DE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42-3D28-48FB-8FCE-666636A56A27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2EBE5C73-A11E-453E-B056-1E2B7EB44E6E}" type="CELLRANGE">
                      <a:rPr lang="en-US"/>
                      <a:pPr/>
                      <a:t>[ZELLBEREICH]</a:t>
                    </a:fld>
                    <a:endParaRPr lang="de-DE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43-3D28-48FB-8FCE-666636A56A27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1B7AA385-C5D9-4E77-B245-6D38DFF45878}" type="CELLRANGE">
                      <a:rPr lang="en-US"/>
                      <a:pPr/>
                      <a:t>[ZELLBEREICH]</a:t>
                    </a:fld>
                    <a:endParaRPr lang="de-DE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44-3D28-48FB-8FCE-666636A56A27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B58F2366-EDF2-456F-A9C2-01B3B940A738}" type="CELLRANGE">
                      <a:rPr lang="en-US"/>
                      <a:pPr/>
                      <a:t>[ZELLBEREICH]</a:t>
                    </a:fld>
                    <a:endParaRPr lang="de-DE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45-3D28-48FB-8FCE-666636A56A27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FFADF98E-F8FE-475A-9372-A0406600CD36}" type="CELLRANGE">
                      <a:rPr lang="en-US"/>
                      <a:pPr/>
                      <a:t>[ZELLBEREICH]</a:t>
                    </a:fld>
                    <a:endParaRPr lang="de-DE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46-3D28-48FB-8FCE-666636A56A27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0223A455-0656-4E0C-9C84-EF4FF24B0990}" type="CELLRANGE">
                      <a:rPr lang="en-US"/>
                      <a:pPr/>
                      <a:t>[ZELLBEREICH]</a:t>
                    </a:fld>
                    <a:endParaRPr lang="de-DE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47-3D28-48FB-8FCE-666636A56A27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5F0D25EC-BEC3-40ED-BAB2-4FB6AF1C9AC7}" type="CELLRANGE">
                      <a:rPr lang="en-US"/>
                      <a:pPr/>
                      <a:t>[ZELLBEREICH]</a:t>
                    </a:fld>
                    <a:endParaRPr lang="de-DE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48-3D28-48FB-8FCE-666636A56A27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AFE41568-D34F-4B99-A5B6-64333283BA2D}" type="CELLRANGE">
                      <a:rPr lang="en-US"/>
                      <a:pPr/>
                      <a:t>[ZELLBEREICH]</a:t>
                    </a:fld>
                    <a:endParaRPr lang="de-DE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49-3D28-48FB-8FCE-666636A56A27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1DFCC0FA-3A65-4BFA-8831-4904C475E01D}" type="CELLRANGE">
                      <a:rPr lang="en-US"/>
                      <a:pPr/>
                      <a:t>[ZELLBEREICH]</a:t>
                    </a:fld>
                    <a:endParaRPr lang="de-DE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4A-3D28-48FB-8FCE-666636A56A27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B9D51C87-6D1B-4639-BE73-50931C18D221}" type="CELLRANGE">
                      <a:rPr lang="en-US"/>
                      <a:pPr/>
                      <a:t>[ZELLBEREICH]</a:t>
                    </a:fld>
                    <a:endParaRPr lang="de-DE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4B-3D28-48FB-8FCE-666636A56A27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790B6C2A-94D1-407E-A80F-FC1782CED203}" type="CELLRANGE">
                      <a:rPr lang="en-US"/>
                      <a:pPr/>
                      <a:t>[ZELLBEREICH]</a:t>
                    </a:fld>
                    <a:endParaRPr lang="de-DE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4C-3D28-48FB-8FCE-666636A56A27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82012CE4-13DF-43AF-8F32-294A5315F147}" type="CELLRANGE">
                      <a:rPr lang="en-US"/>
                      <a:pPr/>
                      <a:t>[ZELLBEREICH]</a:t>
                    </a:fld>
                    <a:endParaRPr lang="de-DE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4D-3D28-48FB-8FCE-666636A56A27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D48E786A-8DA1-4F29-8D6F-469CBF78A339}" type="CELLRANGE">
                      <a:rPr lang="en-US"/>
                      <a:pPr/>
                      <a:t>[ZELLBEREICH]</a:t>
                    </a:fld>
                    <a:endParaRPr lang="de-DE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4E-3D28-48FB-8FCE-666636A56A27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E66B9194-F767-4A06-BAC8-A604E0F6BCEA}" type="CELLRANGE">
                      <a:rPr lang="en-US"/>
                      <a:pPr/>
                      <a:t>[ZELLBEREICH]</a:t>
                    </a:fld>
                    <a:endParaRPr lang="de-DE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4F-3D28-48FB-8FCE-666636A56A27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2DAD8DB8-D2FF-4353-97A1-0F9E69922595}" type="CELLRANGE">
                      <a:rPr lang="en-US"/>
                      <a:pPr/>
                      <a:t>[ZELLBEREICH]</a:t>
                    </a:fld>
                    <a:endParaRPr lang="de-DE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50-3D28-48FB-8FCE-666636A56A27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93FE3607-C35A-4429-A8FB-D5092326213D}" type="CELLRANGE">
                      <a:rPr lang="en-US"/>
                      <a:pPr/>
                      <a:t>[ZELLBEREICH]</a:t>
                    </a:fld>
                    <a:endParaRPr lang="de-DE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51-3D28-48FB-8FCE-666636A56A27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AAE42493-2547-487E-A521-917B4D17C739}" type="CELLRANGE">
                      <a:rPr lang="en-US"/>
                      <a:pPr/>
                      <a:t>[ZELLBEREICH]</a:t>
                    </a:fld>
                    <a:endParaRPr lang="de-DE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52-3D28-48FB-8FCE-666636A56A27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8E39D93A-290E-471E-AA95-75F526BC92ED}" type="CELLRANGE">
                      <a:rPr lang="en-US"/>
                      <a:pPr/>
                      <a:t>[ZELLBEREICH]</a:t>
                    </a:fld>
                    <a:endParaRPr lang="de-DE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53-3D28-48FB-8FCE-666636A56A27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E1AA75DF-294A-4F0E-8FEA-51DB4ADD081E}" type="CELLRANGE">
                      <a:rPr lang="en-US"/>
                      <a:pPr/>
                      <a:t>[ZELLBEREICH]</a:t>
                    </a:fld>
                    <a:endParaRPr lang="de-DE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54-3D28-48FB-8FCE-666636A56A27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A7953061-CE38-4079-A172-247D893B7784}" type="CELLRANGE">
                      <a:rPr lang="en-US"/>
                      <a:pPr/>
                      <a:t>[ZELLBEREICH]</a:t>
                    </a:fld>
                    <a:endParaRPr lang="de-DE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55-3D28-48FB-8FCE-666636A56A27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D4F14E16-138C-4063-8CCD-D8E485FF8B02}" type="CELLRANGE">
                      <a:rPr lang="en-US"/>
                      <a:pPr/>
                      <a:t>[ZELLBEREICH]</a:t>
                    </a:fld>
                    <a:endParaRPr lang="de-DE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56-3D28-48FB-8FCE-666636A56A27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94E5374C-1B75-4389-AE13-639D0A85581B}" type="CELLRANGE">
                      <a:rPr lang="en-US"/>
                      <a:pPr/>
                      <a:t>[ZELLBEREICH]</a:t>
                    </a:fld>
                    <a:endParaRPr lang="de-DE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57-3D28-48FB-8FCE-666636A56A27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480CA148-86C7-4343-8E29-B3815FD2798D}" type="CELLRANGE">
                      <a:rPr lang="en-US"/>
                      <a:pPr/>
                      <a:t>[ZELLBEREICH]</a:t>
                    </a:fld>
                    <a:endParaRPr lang="de-DE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58-3D28-48FB-8FCE-666636A56A27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59ECFB5E-BA66-49D6-B6BD-4AD456D8FB50}" type="CELLRANGE">
                      <a:rPr lang="en-US"/>
                      <a:pPr/>
                      <a:t>[ZELLBEREICH]</a:t>
                    </a:fld>
                    <a:endParaRPr lang="de-DE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59-3D28-48FB-8FCE-666636A56A27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EC4A0418-A310-426F-93ED-888212AE20C6}" type="CELLRANGE">
                      <a:rPr lang="en-US"/>
                      <a:pPr/>
                      <a:t>[ZELLBEREICH]</a:t>
                    </a:fld>
                    <a:endParaRPr lang="de-DE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5A-3D28-48FB-8FCE-666636A56A27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300DF2CC-4AA8-47E9-82AE-5C24E1DF0AD0}" type="CELLRANGE">
                      <a:rPr lang="en-US"/>
                      <a:pPr/>
                      <a:t>[ZELLBEREICH]</a:t>
                    </a:fld>
                    <a:endParaRPr lang="de-DE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5B-3D28-48FB-8FCE-666636A56A27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4D284274-170C-41BC-9C81-44365FB57C96}" type="CELLRANGE">
                      <a:rPr lang="en-US"/>
                      <a:pPr/>
                      <a:t>[ZELLBEREICH]</a:t>
                    </a:fld>
                    <a:endParaRPr lang="de-DE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5C-3D28-48FB-8FCE-666636A56A27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B8B35B42-ACA6-464F-95C3-80DD9CA90FF7}" type="CELLRANGE">
                      <a:rPr lang="en-US"/>
                      <a:pPr/>
                      <a:t>[ZELLBEREICH]</a:t>
                    </a:fld>
                    <a:endParaRPr lang="de-DE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5D-3D28-48FB-8FCE-666636A56A27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A63C8D9E-DB27-443E-A040-6B6C1749F3BA}" type="CELLRANGE">
                      <a:rPr lang="en-US"/>
                      <a:pPr/>
                      <a:t>[ZELLBEREICH]</a:t>
                    </a:fld>
                    <a:endParaRPr lang="de-DE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5E-3D28-48FB-8FCE-666636A56A27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31B3D6AE-E618-418B-A880-1CB870AE7BBE}" type="CELLRANGE">
                      <a:rPr lang="en-US"/>
                      <a:pPr/>
                      <a:t>[ZELLBEREICH]</a:t>
                    </a:fld>
                    <a:endParaRPr lang="de-DE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5F-3D28-48FB-8FCE-666636A56A27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33694E0A-0A7D-4D65-9FE5-C767ADE39682}" type="CELLRANGE">
                      <a:rPr lang="en-US"/>
                      <a:pPr/>
                      <a:t>[ZELLBEREICH]</a:t>
                    </a:fld>
                    <a:endParaRPr lang="de-DE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60-3D28-48FB-8FCE-666636A56A27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F29F8980-4A9F-4686-AE2F-A2A8740BDCFD}" type="CELLRANGE">
                      <a:rPr lang="en-US"/>
                      <a:pPr/>
                      <a:t>[ZELLBEREICH]</a:t>
                    </a:fld>
                    <a:endParaRPr lang="de-DE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61-3D28-48FB-8FCE-666636A56A27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667A0EB3-1CB8-43F6-BF8D-3995AF18652A}" type="CELLRANGE">
                      <a:rPr lang="en-US"/>
                      <a:pPr/>
                      <a:t>[ZELLBEREICH]</a:t>
                    </a:fld>
                    <a:endParaRPr lang="de-DE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62-3D28-48FB-8FCE-666636A56A27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0FF2B815-0928-478B-A19B-B156000B6EF1}" type="CELLRANGE">
                      <a:rPr lang="en-US"/>
                      <a:pPr/>
                      <a:t>[ZELLBEREICH]</a:t>
                    </a:fld>
                    <a:endParaRPr lang="de-DE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63-3D28-48FB-8FCE-666636A56A27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7DC0E629-645E-4B2E-A318-45034D40907C}" type="CELLRANGE">
                      <a:rPr lang="en-US"/>
                      <a:pPr/>
                      <a:t>[ZELLBEREICH]</a:t>
                    </a:fld>
                    <a:endParaRPr lang="de-DE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64-3D28-48FB-8FCE-666636A56A27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BBE5DBEC-ACB7-4D55-B178-D6CEC1D004E2}" type="CELLRANGE">
                      <a:rPr lang="en-US"/>
                      <a:pPr/>
                      <a:t>[ZELLBEREICH]</a:t>
                    </a:fld>
                    <a:endParaRPr lang="de-DE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65-3D28-48FB-8FCE-666636A56A27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6BDF64BE-48CD-4C88-B89E-C29B399D8F06}" type="CELLRANGE">
                      <a:rPr lang="en-US"/>
                      <a:pPr/>
                      <a:t>[ZELLBEREICH]</a:t>
                    </a:fld>
                    <a:endParaRPr lang="de-DE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66-3D28-48FB-8FCE-666636A56A27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C94C41B4-1373-4764-A5E4-68B4005A7630}" type="CELLRANGE">
                      <a:rPr lang="en-US"/>
                      <a:pPr/>
                      <a:t>[ZELLBEREICH]</a:t>
                    </a:fld>
                    <a:endParaRPr lang="de-DE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67-3D28-48FB-8FCE-666636A56A27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EFD0D438-092B-45B2-8146-F4A0EDD1FF07}" type="CELLRANGE">
                      <a:rPr lang="en-US"/>
                      <a:pPr/>
                      <a:t>[ZELLBEREICH]</a:t>
                    </a:fld>
                    <a:endParaRPr lang="de-DE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68-3D28-48FB-8FCE-666636A56A27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5E38E4E0-1FFE-4CD7-9FDA-890D4E5AA302}" type="CELLRANGE">
                      <a:rPr lang="en-US"/>
                      <a:pPr/>
                      <a:t>[ZELLBEREICH]</a:t>
                    </a:fld>
                    <a:endParaRPr lang="de-DE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69-3D28-48FB-8FCE-666636A56A27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B917B81D-ACAF-43F0-965E-96C059307728}" type="CELLRANGE">
                      <a:rPr lang="en-US"/>
                      <a:pPr/>
                      <a:t>[ZELLBEREICH]</a:t>
                    </a:fld>
                    <a:endParaRPr lang="de-DE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6A-3D28-48FB-8FCE-666636A56A27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B1103947-2E64-4D45-9025-A3EF6282F7BE}" type="CELLRANGE">
                      <a:rPr lang="en-US"/>
                      <a:pPr/>
                      <a:t>[ZELLBEREICH]</a:t>
                    </a:fld>
                    <a:endParaRPr lang="de-DE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6B-3D28-48FB-8FCE-666636A56A27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83D73502-4EA4-409E-847D-43FE6E5C8BE3}" type="CELLRANGE">
                      <a:rPr lang="en-US"/>
                      <a:pPr/>
                      <a:t>[ZELLBEREICH]</a:t>
                    </a:fld>
                    <a:endParaRPr lang="de-DE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6C-3D28-48FB-8FCE-666636A56A27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91F97904-011B-407A-8CDC-B5BE1ACFEF69}" type="CELLRANGE">
                      <a:rPr lang="en-US"/>
                      <a:pPr/>
                      <a:t>[ZELLBEREICH]</a:t>
                    </a:fld>
                    <a:endParaRPr lang="de-DE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6D-3D28-48FB-8FCE-666636A56A27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0AAC1F6E-D544-4869-949D-51A1EECCC4DB}" type="CELLRANGE">
                      <a:rPr lang="en-US"/>
                      <a:pPr/>
                      <a:t>[ZELLBEREICH]</a:t>
                    </a:fld>
                    <a:endParaRPr lang="de-DE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6E-3D28-48FB-8FCE-666636A56A27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6AB9B39B-D26C-471B-B4A2-B4CD6133397B}" type="CELLRANGE">
                      <a:rPr lang="en-US"/>
                      <a:pPr/>
                      <a:t>[ZELLBEREICH]</a:t>
                    </a:fld>
                    <a:endParaRPr lang="de-DE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6F-3D28-48FB-8FCE-666636A56A27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23304FC7-1B20-4CA9-ABB2-4B0C63F5818C}" type="CELLRANGE">
                      <a:rPr lang="en-US"/>
                      <a:pPr/>
                      <a:t>[ZELLBEREICH]</a:t>
                    </a:fld>
                    <a:endParaRPr lang="de-DE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70-3D28-48FB-8FCE-666636A56A27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91D36BB5-AE85-4263-8A4A-0E4FDF9DF50D}" type="CELLRANGE">
                      <a:rPr lang="en-US"/>
                      <a:pPr/>
                      <a:t>[ZELLBEREICH]</a:t>
                    </a:fld>
                    <a:endParaRPr lang="de-DE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71-3D28-48FB-8FCE-666636A56A27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F4E89C16-37CC-42DB-9D33-32C9650D9D6E}" type="CELLRANGE">
                      <a:rPr lang="en-US"/>
                      <a:pPr/>
                      <a:t>[ZELLBEREICH]</a:t>
                    </a:fld>
                    <a:endParaRPr lang="de-DE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72-3D28-48FB-8FCE-666636A56A27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077B7DE3-CFE1-45A1-9B7C-20CB0D691C0D}" type="CELLRANGE">
                      <a:rPr lang="en-US"/>
                      <a:pPr/>
                      <a:t>[ZELLBEREICH]</a:t>
                    </a:fld>
                    <a:endParaRPr lang="de-DE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73-3D28-48FB-8FCE-666636A56A27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C33ACE28-6102-42E4-BA48-1A3F994F4273}" type="CELLRANGE">
                      <a:rPr lang="en-US"/>
                      <a:pPr/>
                      <a:t>[ZELLBEREICH]</a:t>
                    </a:fld>
                    <a:endParaRPr lang="de-DE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74-3D28-48FB-8FCE-666636A56A27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627D6B6C-EF0B-48EA-BE0D-338C27A0DFC2}" type="CELLRANGE">
                      <a:rPr lang="en-US"/>
                      <a:pPr/>
                      <a:t>[ZELLBEREICH]</a:t>
                    </a:fld>
                    <a:endParaRPr lang="de-DE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75-3D28-48FB-8FCE-666636A56A27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AD6EEAEA-250B-4905-9263-4E1F18B704AD}" type="CELLRANGE">
                      <a:rPr lang="en-US"/>
                      <a:pPr/>
                      <a:t>[ZELLBEREICH]</a:t>
                    </a:fld>
                    <a:endParaRPr lang="de-DE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76-3D28-48FB-8FCE-666636A56A27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F62A0FBC-36A6-4A89-B926-9BDAF463F130}" type="CELLRANGE">
                      <a:rPr lang="en-US"/>
                      <a:pPr/>
                      <a:t>[ZELLBEREICH]</a:t>
                    </a:fld>
                    <a:endParaRPr lang="de-DE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77-3D28-48FB-8FCE-666636A56A27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5CE4BBD6-0DAD-4571-895F-366E548B9886}" type="CELLRANGE">
                      <a:rPr lang="en-US"/>
                      <a:pPr/>
                      <a:t>[ZELLBEREICH]</a:t>
                    </a:fld>
                    <a:endParaRPr lang="de-DE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78-3D28-48FB-8FCE-666636A56A27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87CE6EC2-D8BE-482C-AB90-53032291E011}" type="CELLRANGE">
                      <a:rPr lang="en-US"/>
                      <a:pPr/>
                      <a:t>[ZELLBEREICH]</a:t>
                    </a:fld>
                    <a:endParaRPr lang="de-DE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79-3D28-48FB-8FCE-666636A56A27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6D5EC71F-5C4E-4483-8E57-7CE9C113C484}" type="CELLRANGE">
                      <a:rPr lang="en-US"/>
                      <a:pPr/>
                      <a:t>[ZELLBEREICH]</a:t>
                    </a:fld>
                    <a:endParaRPr lang="de-DE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7A-3D28-48FB-8FCE-666636A56A27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A2B652B8-F225-4F93-9051-26A7276B011E}" type="CELLRANGE">
                      <a:rPr lang="en-US"/>
                      <a:pPr/>
                      <a:t>[ZELLBEREICH]</a:t>
                    </a:fld>
                    <a:endParaRPr lang="de-DE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7B-3D28-48FB-8FCE-666636A56A27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EB2FDE18-97FF-4897-9E5C-4921DC2AD315}" type="CELLRANGE">
                      <a:rPr lang="en-US"/>
                      <a:pPr/>
                      <a:t>[ZELLBEREICH]</a:t>
                    </a:fld>
                    <a:endParaRPr lang="de-DE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7C-3D28-48FB-8FCE-666636A56A27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2F76AA50-5BF7-4DE8-82A4-8D5052BAC163}" type="CELLRANGE">
                      <a:rPr lang="en-US"/>
                      <a:pPr/>
                      <a:t>[ZELLBEREICH]</a:t>
                    </a:fld>
                    <a:endParaRPr lang="de-DE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7D-3D28-48FB-8FCE-666636A56A27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A91F4F11-BFA7-42D3-AABF-2C6FB0567E17}" type="CELLRANGE">
                      <a:rPr lang="en-US"/>
                      <a:pPr/>
                      <a:t>[ZELLBEREICH]</a:t>
                    </a:fld>
                    <a:endParaRPr lang="de-DE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7E-3D28-48FB-8FCE-666636A56A27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A3192CB9-E240-416F-9B33-A1031B102807}" type="CELLRANGE">
                      <a:rPr lang="en-US"/>
                      <a:pPr/>
                      <a:t>[ZELLBEREICH]</a:t>
                    </a:fld>
                    <a:endParaRPr lang="de-DE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7F-3D28-48FB-8FCE-666636A56A27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66F39B90-2920-42FD-BDA0-723B3E9EAA0B}" type="CELLRANGE">
                      <a:rPr lang="en-US"/>
                      <a:pPr/>
                      <a:t>[ZELLBEREICH]</a:t>
                    </a:fld>
                    <a:endParaRPr lang="de-DE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80-3D28-48FB-8FCE-666636A56A27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3BF787D7-3C35-4098-A3FC-719BEAE2AED7}" type="CELLRANGE">
                      <a:rPr lang="en-US"/>
                      <a:pPr/>
                      <a:t>[ZELLBEREICH]</a:t>
                    </a:fld>
                    <a:endParaRPr lang="de-DE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81-3D28-48FB-8FCE-666636A56A27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42F20764-9F09-426C-AA3D-384222578491}" type="CELLRANGE">
                      <a:rPr lang="en-US"/>
                      <a:pPr/>
                      <a:t>[ZELLBEREICH]</a:t>
                    </a:fld>
                    <a:endParaRPr lang="de-DE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82-3D28-48FB-8FCE-666636A56A27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E01A569C-90EB-4C2F-BEA6-BEA8F4364062}" type="CELLRANGE">
                      <a:rPr lang="en-US"/>
                      <a:pPr/>
                      <a:t>[ZELLBEREICH]</a:t>
                    </a:fld>
                    <a:endParaRPr lang="de-DE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83-3D28-48FB-8FCE-666636A56A27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BEAB13C9-2449-4CE4-8C3C-6969648179EF}" type="CELLRANGE">
                      <a:rPr lang="en-US"/>
                      <a:pPr/>
                      <a:t>[ZELLBEREICH]</a:t>
                    </a:fld>
                    <a:endParaRPr lang="de-DE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84-3D28-48FB-8FCE-666636A56A27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3E0CBA09-CB66-421D-9B96-17308DF81AAC}" type="CELLRANGE">
                      <a:rPr lang="en-US"/>
                      <a:pPr/>
                      <a:t>[ZELLBEREICH]</a:t>
                    </a:fld>
                    <a:endParaRPr lang="de-DE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85-3D28-48FB-8FCE-666636A56A27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A9F763AF-D2EC-41A1-93F9-7BE431C544A9}" type="CELLRANGE">
                      <a:rPr lang="en-US"/>
                      <a:pPr/>
                      <a:t>[ZELLBEREICH]</a:t>
                    </a:fld>
                    <a:endParaRPr lang="de-DE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86-3D28-48FB-8FCE-666636A56A27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66D6DAB0-1216-4A34-A5F3-7C2316570E22}" type="CELLRANGE">
                      <a:rPr lang="en-US"/>
                      <a:pPr/>
                      <a:t>[ZELLBEREICH]</a:t>
                    </a:fld>
                    <a:endParaRPr lang="de-DE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87-3D28-48FB-8FCE-666636A56A27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45A26264-18D8-4E07-839F-9B7BC07B64F3}" type="CELLRANGE">
                      <a:rPr lang="en-US"/>
                      <a:pPr/>
                      <a:t>[ZELLBEREICH]</a:t>
                    </a:fld>
                    <a:endParaRPr lang="de-DE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88-3D28-48FB-8FCE-666636A56A27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017ED340-BB5B-4CFC-B8CA-76128E14F600}" type="CELLRANGE">
                      <a:rPr lang="en-US"/>
                      <a:pPr/>
                      <a:t>[ZELLBEREICH]</a:t>
                    </a:fld>
                    <a:endParaRPr lang="de-DE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89-3D28-48FB-8FCE-666636A56A27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543087C5-8175-41D3-BAFA-4BFB58E815B8}" type="CELLRANGE">
                      <a:rPr lang="en-US"/>
                      <a:pPr/>
                      <a:t>[ZELLBEREICH]</a:t>
                    </a:fld>
                    <a:endParaRPr lang="de-DE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8A-3D28-48FB-8FCE-666636A56A27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87705000-5EA4-43E8-9645-315D75071090}" type="CELLRANGE">
                      <a:rPr lang="en-US"/>
                      <a:pPr/>
                      <a:t>[ZELLBEREICH]</a:t>
                    </a:fld>
                    <a:endParaRPr lang="de-DE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8B-3D28-48FB-8FCE-666636A56A27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13F5EDA8-6DBE-4DDF-A4CF-638C3664F66C}" type="CELLRANGE">
                      <a:rPr lang="en-US"/>
                      <a:pPr/>
                      <a:t>[ZELLBEREICH]</a:t>
                    </a:fld>
                    <a:endParaRPr lang="de-DE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8C-3D28-48FB-8FCE-666636A56A27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A8C4BFF4-97BF-4033-B156-7B726A8B035E}" type="CELLRANGE">
                      <a:rPr lang="en-US"/>
                      <a:pPr/>
                      <a:t>[ZELLBEREICH]</a:t>
                    </a:fld>
                    <a:endParaRPr lang="de-DE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8D-3D28-48FB-8FCE-666636A56A27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F5AA6BDC-8337-47DD-8A0F-84AA50630914}" type="CELLRANGE">
                      <a:rPr lang="en-US"/>
                      <a:pPr/>
                      <a:t>[ZELLBEREICH]</a:t>
                    </a:fld>
                    <a:endParaRPr lang="de-DE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8E-3D28-48FB-8FCE-666636A56A27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50CEC922-4ABA-4530-B130-4015C79E5643}" type="CELLRANGE">
                      <a:rPr lang="en-US"/>
                      <a:pPr/>
                      <a:t>[ZELLBEREICH]</a:t>
                    </a:fld>
                    <a:endParaRPr lang="de-DE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8F-3D28-48FB-8FCE-666636A56A27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7EE3C9B5-2C9F-4280-A902-2F497620B730}" type="CELLRANGE">
                      <a:rPr lang="en-US"/>
                      <a:pPr/>
                      <a:t>[ZELLBEREICH]</a:t>
                    </a:fld>
                    <a:endParaRPr lang="de-DE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90-3D28-48FB-8FCE-666636A56A27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79BBE04A-6F2A-4AA2-9264-3AA4FB3049D3}" type="CELLRANGE">
                      <a:rPr lang="en-US"/>
                      <a:pPr/>
                      <a:t>[ZELLBEREICH]</a:t>
                    </a:fld>
                    <a:endParaRPr lang="de-DE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91-3D28-48FB-8FCE-666636A56A27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7E473DB4-0B08-4DBA-9401-77E4097C1B3E}" type="CELLRANGE">
                      <a:rPr lang="en-US"/>
                      <a:pPr/>
                      <a:t>[ZELLBEREICH]</a:t>
                    </a:fld>
                    <a:endParaRPr lang="de-DE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92-3D28-48FB-8FCE-666636A56A27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67E14489-DED8-41FF-91F1-E5300C4173F3}" type="CELLRANGE">
                      <a:rPr lang="en-US"/>
                      <a:pPr/>
                      <a:t>[ZELLBEREICH]</a:t>
                    </a:fld>
                    <a:endParaRPr lang="de-DE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93-3D28-48FB-8FCE-666636A56A27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CBBB4FAC-EE95-4D42-A6CB-3E8EC46DF1EB}" type="CELLRANGE">
                      <a:rPr lang="en-US"/>
                      <a:pPr/>
                      <a:t>[ZELLBEREICH]</a:t>
                    </a:fld>
                    <a:endParaRPr lang="de-DE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94-3D28-48FB-8FCE-666636A56A27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B7AE01F6-AF21-438F-8A99-BDE32F1F2644}" type="CELLRANGE">
                      <a:rPr lang="en-US"/>
                      <a:pPr/>
                      <a:t>[ZELLBEREICH]</a:t>
                    </a:fld>
                    <a:endParaRPr lang="de-DE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95-3D28-48FB-8FCE-666636A56A27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4E6AD128-00B2-4E59-922D-8D7FAB8F2C88}" type="CELLRANGE">
                      <a:rPr lang="en-US"/>
                      <a:pPr/>
                      <a:t>[ZELLBEREICH]</a:t>
                    </a:fld>
                    <a:endParaRPr lang="de-DE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96-3D28-48FB-8FCE-666636A56A27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431276F0-C9A4-455C-AF5C-2FE33CA82312}" type="CELLRANGE">
                      <a:rPr lang="en-US"/>
                      <a:pPr/>
                      <a:t>[ZELLBEREICH]</a:t>
                    </a:fld>
                    <a:endParaRPr lang="de-DE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97-3D28-48FB-8FCE-666636A56A27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7EDAEF2A-AED6-445B-BE3B-0F9620A79E26}" type="CELLRANGE">
                      <a:rPr lang="en-US"/>
                      <a:pPr/>
                      <a:t>[ZELLBEREICH]</a:t>
                    </a:fld>
                    <a:endParaRPr lang="de-DE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98-3D28-48FB-8FCE-666636A56A27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7F41C01E-C066-4FF7-B7EC-2848A238206D}" type="CELLRANGE">
                      <a:rPr lang="en-US"/>
                      <a:pPr/>
                      <a:t>[ZELLBEREICH]</a:t>
                    </a:fld>
                    <a:endParaRPr lang="de-DE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99-3D28-48FB-8FCE-666636A56A27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7D088B62-F9AA-4593-9E47-CAA8F413F79E}" type="CELLRANGE">
                      <a:rPr lang="en-US"/>
                      <a:pPr/>
                      <a:t>[ZELLBEREICH]</a:t>
                    </a:fld>
                    <a:endParaRPr lang="de-DE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9A-3D28-48FB-8FCE-666636A56A27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A689E381-9A9E-4451-BB1C-562BBA0BFD5B}" type="CELLRANGE">
                      <a:rPr lang="en-US"/>
                      <a:pPr/>
                      <a:t>[ZELLBEREICH]</a:t>
                    </a:fld>
                    <a:endParaRPr lang="de-DE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9B-3D28-48FB-8FCE-666636A56A27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E850E12B-24B6-4C3C-82A5-2AEB0EF9E60E}" type="CELLRANGE">
                      <a:rPr lang="en-US"/>
                      <a:pPr/>
                      <a:t>[ZELLBEREICH]</a:t>
                    </a:fld>
                    <a:endParaRPr lang="de-DE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9C-3D28-48FB-8FCE-666636A56A27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54A0482A-C1EC-4AE9-9283-621A79646E4B}" type="CELLRANGE">
                      <a:rPr lang="en-US"/>
                      <a:pPr/>
                      <a:t>[ZELLBEREICH]</a:t>
                    </a:fld>
                    <a:endParaRPr lang="de-DE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9D-3D28-48FB-8FCE-666636A56A27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0443E4CA-730C-49D8-A73F-CD61D41C0C27}" type="CELLRANGE">
                      <a:rPr lang="en-US"/>
                      <a:pPr/>
                      <a:t>[ZELLBEREICH]</a:t>
                    </a:fld>
                    <a:endParaRPr lang="de-DE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9E-3D28-48FB-8FCE-666636A56A27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6D983DBC-67D9-440D-8F35-3B3CEFE16B65}" type="CELLRANGE">
                      <a:rPr lang="en-US"/>
                      <a:pPr/>
                      <a:t>[ZELLBEREICH]</a:t>
                    </a:fld>
                    <a:endParaRPr lang="de-DE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9F-3D28-48FB-8FCE-666636A56A27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0A587D00-FF9E-456F-B2C5-F4ACB3B1E22C}" type="CELLRANGE">
                      <a:rPr lang="en-US"/>
                      <a:pPr/>
                      <a:t>[ZELLBEREICH]</a:t>
                    </a:fld>
                    <a:endParaRPr lang="de-DE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A0-3D28-48FB-8FCE-666636A56A27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8CF9870A-D4EE-4468-B353-ED75C2AB554E}" type="CELLRANGE">
                      <a:rPr lang="en-US"/>
                      <a:pPr/>
                      <a:t>[ZELLBEREICH]</a:t>
                    </a:fld>
                    <a:endParaRPr lang="de-DE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A1-3D28-48FB-8FCE-666636A56A27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F9114B71-EAB5-4121-9E73-73DA8B33B865}" type="CELLRANGE">
                      <a:rPr lang="en-US"/>
                      <a:pPr/>
                      <a:t>[ZELLBEREICH]</a:t>
                    </a:fld>
                    <a:endParaRPr lang="de-DE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A2-3D28-48FB-8FCE-666636A56A27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8C65B8C7-B613-4683-A1B7-C328E6107B41}" type="CELLRANGE">
                      <a:rPr lang="en-US"/>
                      <a:pPr/>
                      <a:t>[ZELLBEREICH]</a:t>
                    </a:fld>
                    <a:endParaRPr lang="de-DE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A3-3D28-48FB-8FCE-666636A56A27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1D566C35-8D6D-496B-BD5E-120DDCEF8C5C}" type="CELLRANGE">
                      <a:rPr lang="en-US"/>
                      <a:pPr/>
                      <a:t>[ZELLBEREICH]</a:t>
                    </a:fld>
                    <a:endParaRPr lang="de-DE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A4-3D28-48FB-8FCE-666636A56A27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1F496563-16C0-4962-9A39-F6EFB8EC7DA5}" type="CELLRANGE">
                      <a:rPr lang="en-US"/>
                      <a:pPr/>
                      <a:t>[ZELLBEREICH]</a:t>
                    </a:fld>
                    <a:endParaRPr lang="de-DE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A5-3D28-48FB-8FCE-666636A56A27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75F20D90-7B1C-47B9-8EFB-2F33E2442C97}" type="CELLRANGE">
                      <a:rPr lang="en-US"/>
                      <a:pPr/>
                      <a:t>[ZELLBEREICH]</a:t>
                    </a:fld>
                    <a:endParaRPr lang="de-DE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A6-3D28-48FB-8FCE-666636A56A27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47C5A523-A9E7-4B5C-A6D5-CBC81CB1CDC8}" type="CELLRANGE">
                      <a:rPr lang="en-US"/>
                      <a:pPr/>
                      <a:t>[ZELLBEREICH]</a:t>
                    </a:fld>
                    <a:endParaRPr lang="de-DE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A7-3D28-48FB-8FCE-666636A56A27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792971DE-8DEA-4751-BC41-4477F0B7C2D1}" type="CELLRANGE">
                      <a:rPr lang="en-US"/>
                      <a:pPr/>
                      <a:t>[ZELLBEREICH]</a:t>
                    </a:fld>
                    <a:endParaRPr lang="de-DE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A8-3D28-48FB-8FCE-666636A56A27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C596C719-1E4C-4882-A071-37FCE04EBEFD}" type="CELLRANGE">
                      <a:rPr lang="en-US"/>
                      <a:pPr/>
                      <a:t>[ZELLBEREICH]</a:t>
                    </a:fld>
                    <a:endParaRPr lang="de-DE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A9-3D28-48FB-8FCE-666636A56A27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E9696E3F-AAB1-44DA-ADC1-7F5C14FC4B31}" type="CELLRANGE">
                      <a:rPr lang="en-US"/>
                      <a:pPr/>
                      <a:t>[ZELLBEREICH]</a:t>
                    </a:fld>
                    <a:endParaRPr lang="de-DE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AA-3D28-48FB-8FCE-666636A56A27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3F0F2936-73F4-4128-9691-03FF68123B80}" type="CELLRANGE">
                      <a:rPr lang="en-US"/>
                      <a:pPr/>
                      <a:t>[ZELLBEREICH]</a:t>
                    </a:fld>
                    <a:endParaRPr lang="de-DE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AB-3D28-48FB-8FCE-666636A56A27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DCCAABAD-A97A-42D3-9F80-3F54C103450F}" type="CELLRANGE">
                      <a:rPr lang="en-US"/>
                      <a:pPr/>
                      <a:t>[ZELLBEREICH]</a:t>
                    </a:fld>
                    <a:endParaRPr lang="de-DE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AC-3D28-48FB-8FCE-666636A56A27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6C305724-78D6-4B5D-99A6-0FE6B2D67481}" type="CELLRANGE">
                      <a:rPr lang="en-US"/>
                      <a:pPr/>
                      <a:t>[ZELLBEREICH]</a:t>
                    </a:fld>
                    <a:endParaRPr lang="de-DE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AD-3D28-48FB-8FCE-666636A56A27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729107B9-4350-421D-A153-B3B67F44F787}" type="CELLRANGE">
                      <a:rPr lang="en-US"/>
                      <a:pPr/>
                      <a:t>[ZELLBEREICH]</a:t>
                    </a:fld>
                    <a:endParaRPr lang="de-DE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AE-3D28-48FB-8FCE-666636A56A27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45974368-6276-4969-BE67-6D4637734227}" type="CELLRANGE">
                      <a:rPr lang="en-US"/>
                      <a:pPr/>
                      <a:t>[ZELLBEREICH]</a:t>
                    </a:fld>
                    <a:endParaRPr lang="de-DE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AF-3D28-48FB-8FCE-666636A56A27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95B3DC63-A464-449B-B8E2-BB9E7CE0E09F}" type="CELLRANGE">
                      <a:rPr lang="en-US"/>
                      <a:pPr/>
                      <a:t>[ZELLBEREICH]</a:t>
                    </a:fld>
                    <a:endParaRPr lang="de-DE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B0-3D28-48FB-8FCE-666636A56A27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DEA209EB-855C-43E3-980C-F0DB563E284B}" type="CELLRANGE">
                      <a:rPr lang="en-US"/>
                      <a:pPr/>
                      <a:t>[ZELLBEREICH]</a:t>
                    </a:fld>
                    <a:endParaRPr lang="de-DE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B1-3D28-48FB-8FCE-666636A56A27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789554FE-AFC4-48CA-923D-149DD13A819C}" type="CELLRANGE">
                      <a:rPr lang="en-US"/>
                      <a:pPr/>
                      <a:t>[ZELLBEREICH]</a:t>
                    </a:fld>
                    <a:endParaRPr lang="de-DE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B2-3D28-48FB-8FCE-666636A56A27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80C88610-27A3-4F6E-A6F0-8C1CE6443C0A}" type="CELLRANGE">
                      <a:rPr lang="en-US"/>
                      <a:pPr/>
                      <a:t>[ZELLBEREICH]</a:t>
                    </a:fld>
                    <a:endParaRPr lang="de-DE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B3-3D28-48FB-8FCE-666636A56A27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7863AD7A-903F-4A7C-BDF5-F50646FB7A7B}" type="CELLRANGE">
                      <a:rPr lang="en-US"/>
                      <a:pPr/>
                      <a:t>[ZELLBEREICH]</a:t>
                    </a:fld>
                    <a:endParaRPr lang="de-DE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B4-3D28-48FB-8FCE-666636A56A27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1417E892-1CE1-4F8B-AA59-9E06B1FC148D}" type="CELLRANGE">
                      <a:rPr lang="en-US"/>
                      <a:pPr/>
                      <a:t>[ZELLBEREICH]</a:t>
                    </a:fld>
                    <a:endParaRPr lang="de-DE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B5-3D28-48FB-8FCE-666636A56A27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C9DE7241-857E-4084-80CB-A6E6BFE01631}" type="CELLRANGE">
                      <a:rPr lang="en-US"/>
                      <a:pPr/>
                      <a:t>[ZELLBEREICH]</a:t>
                    </a:fld>
                    <a:endParaRPr lang="de-DE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B6-3D28-48FB-8FCE-666636A56A27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38F88EF9-CCBE-4E5F-811A-9AAEAF30911B}" type="CELLRANGE">
                      <a:rPr lang="en-US"/>
                      <a:pPr/>
                      <a:t>[ZELLBEREICH]</a:t>
                    </a:fld>
                    <a:endParaRPr lang="de-DE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B7-3D28-48FB-8FCE-666636A56A27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DE519690-DDA1-4BB5-A85C-9F70BF2EDC0B}" type="CELLRANGE">
                      <a:rPr lang="en-US"/>
                      <a:pPr/>
                      <a:t>[ZELLBEREICH]</a:t>
                    </a:fld>
                    <a:endParaRPr lang="de-DE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B8-3D28-48FB-8FCE-666636A56A27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6FFF929E-27C9-4057-8579-2C73463B2592}" type="CELLRANGE">
                      <a:rPr lang="en-US"/>
                      <a:pPr/>
                      <a:t>[ZELLBEREICH]</a:t>
                    </a:fld>
                    <a:endParaRPr lang="de-DE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B9-3D28-48FB-8FCE-666636A56A27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E59D9289-2388-45A7-B6E5-6367EC189525}" type="CELLRANGE">
                      <a:rPr lang="en-US"/>
                      <a:pPr/>
                      <a:t>[ZELLBEREICH]</a:t>
                    </a:fld>
                    <a:endParaRPr lang="de-DE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BA-3D28-48FB-8FCE-666636A56A27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80944189-B7D1-4664-A17C-44880FF5054B}" type="CELLRANGE">
                      <a:rPr lang="en-US"/>
                      <a:pPr/>
                      <a:t>[ZELLBEREICH]</a:t>
                    </a:fld>
                    <a:endParaRPr lang="de-DE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BB-3D28-48FB-8FCE-666636A56A27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DDAE2912-94DE-4090-87BD-3AFD0F82D3A5}" type="CELLRANGE">
                      <a:rPr lang="en-US"/>
                      <a:pPr/>
                      <a:t>[ZELLBEREICH]</a:t>
                    </a:fld>
                    <a:endParaRPr lang="de-DE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BC-3D28-48FB-8FCE-666636A56A27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88DDEC41-5134-4798-A4E7-3340A948787B}" type="CELLRANGE">
                      <a:rPr lang="en-US"/>
                      <a:pPr/>
                      <a:t>[ZELLBEREICH]</a:t>
                    </a:fld>
                    <a:endParaRPr lang="de-DE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BD-3D28-48FB-8FCE-666636A56A27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E2A3A262-2B2D-4DA8-9E83-7B2F579C3139}" type="CELLRANGE">
                      <a:rPr lang="en-US"/>
                      <a:pPr/>
                      <a:t>[ZELLBEREICH]</a:t>
                    </a:fld>
                    <a:endParaRPr lang="de-DE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BE-3D28-48FB-8FCE-666636A56A27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506A464F-577A-44B6-9710-96159CA66D0F}" type="CELLRANGE">
                      <a:rPr lang="en-US"/>
                      <a:pPr/>
                      <a:t>[ZELLBEREICH]</a:t>
                    </a:fld>
                    <a:endParaRPr lang="de-DE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BF-3D28-48FB-8FCE-666636A56A27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283C3078-A2E1-4247-B902-9FBCADD05FDC}" type="CELLRANGE">
                      <a:rPr lang="en-US"/>
                      <a:pPr/>
                      <a:t>[ZELLBEREICH]</a:t>
                    </a:fld>
                    <a:endParaRPr lang="de-DE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C0-3D28-48FB-8FCE-666636A56A27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B694228E-0A61-4DB6-9E7D-92A3AE1612D7}" type="CELLRANGE">
                      <a:rPr lang="en-US"/>
                      <a:pPr/>
                      <a:t>[ZELLBEREICH]</a:t>
                    </a:fld>
                    <a:endParaRPr lang="de-DE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C1-3D28-48FB-8FCE-666636A56A27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1114C3C7-99CE-46F4-91C4-20FF307CBC1F}" type="CELLRANGE">
                      <a:rPr lang="en-US"/>
                      <a:pPr/>
                      <a:t>[ZELLBEREICH]</a:t>
                    </a:fld>
                    <a:endParaRPr lang="de-DE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C2-3D28-48FB-8FCE-666636A56A27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C6AFE589-87EF-4980-93D2-C9D8F49E4CF9}" type="CELLRANGE">
                      <a:rPr lang="en-US"/>
                      <a:pPr/>
                      <a:t>[ZELLBEREICH]</a:t>
                    </a:fld>
                    <a:endParaRPr lang="de-DE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C3-3D28-48FB-8FCE-666636A56A27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2242D94F-F5D0-4BED-A69F-59B7EB8E2FC2}" type="CELLRANGE">
                      <a:rPr lang="en-US"/>
                      <a:pPr/>
                      <a:t>[ZELLBEREICH]</a:t>
                    </a:fld>
                    <a:endParaRPr lang="de-DE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C4-3D28-48FB-8FCE-666636A56A27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CC42098B-F04B-4C87-A0BB-E9BC9B2E964F}" type="CELLRANGE">
                      <a:rPr lang="en-US"/>
                      <a:pPr/>
                      <a:t>[ZELLBEREICH]</a:t>
                    </a:fld>
                    <a:endParaRPr lang="de-DE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C5-3D28-48FB-8FCE-666636A56A27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49B64795-3184-48C1-B323-6110258CD520}" type="CELLRANGE">
                      <a:rPr lang="en-US"/>
                      <a:pPr/>
                      <a:t>[ZELLBEREICH]</a:t>
                    </a:fld>
                    <a:endParaRPr lang="de-DE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C6-3D28-48FB-8FCE-666636A56A27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D391D41A-B572-468F-8F1C-D25B41F9EAE7}" type="CELLRANGE">
                      <a:rPr lang="en-US"/>
                      <a:pPr/>
                      <a:t>[ZELLBEREICH]</a:t>
                    </a:fld>
                    <a:endParaRPr lang="de-DE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C7-3D28-48FB-8FCE-666636A56A27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2EBF8A5E-8F70-4C52-A45A-E61328A03FF4}" type="CELLRANGE">
                      <a:rPr lang="en-US"/>
                      <a:pPr/>
                      <a:t>[ZELLBEREICH]</a:t>
                    </a:fld>
                    <a:endParaRPr lang="de-DE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C8-3D28-48FB-8FCE-666636A56A27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5C963347-42D9-4284-A6D2-E81C151A5C9F}" type="CELLRANGE">
                      <a:rPr lang="en-US"/>
                      <a:pPr/>
                      <a:t>[ZELLBEREICH]</a:t>
                    </a:fld>
                    <a:endParaRPr lang="de-DE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C9-3D28-48FB-8FCE-666636A56A27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4DD08837-25A9-4939-99E4-754312066A69}" type="CELLRANGE">
                      <a:rPr lang="en-US"/>
                      <a:pPr/>
                      <a:t>[ZELLBEREICH]</a:t>
                    </a:fld>
                    <a:endParaRPr lang="de-DE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CA-3D28-48FB-8FCE-666636A56A27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C8CF6964-B8AD-47DD-AEAB-7015B71FF60D}" type="CELLRANGE">
                      <a:rPr lang="en-US"/>
                      <a:pPr/>
                      <a:t>[ZELLBEREICH]</a:t>
                    </a:fld>
                    <a:endParaRPr lang="de-DE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CB-3D28-48FB-8FCE-666636A56A27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84AFA2A3-AF5F-4424-8D5A-E031BE2212A6}" type="CELLRANGE">
                      <a:rPr lang="en-US"/>
                      <a:pPr/>
                      <a:t>[ZELLBEREICH]</a:t>
                    </a:fld>
                    <a:endParaRPr lang="de-DE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CC-3D28-48FB-8FCE-666636A56A27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5FAF8C87-DEC2-4C8C-8CDA-1977F1D3AEB4}" type="CELLRANGE">
                      <a:rPr lang="en-US"/>
                      <a:pPr/>
                      <a:t>[ZELLBEREICH]</a:t>
                    </a:fld>
                    <a:endParaRPr lang="de-DE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CD-3D28-48FB-8FCE-666636A56A27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F3DEAAE8-A93B-4565-85C6-E9CB3DDCDBC2}" type="CELLRANGE">
                      <a:rPr lang="en-US"/>
                      <a:pPr/>
                      <a:t>[ZELLBEREICH]</a:t>
                    </a:fld>
                    <a:endParaRPr lang="de-DE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CE-3D28-48FB-8FCE-666636A56A27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543375E0-253E-4FA4-AB6C-C299F43EC532}" type="CELLRANGE">
                      <a:rPr lang="en-US"/>
                      <a:pPr/>
                      <a:t>[ZELLBEREICH]</a:t>
                    </a:fld>
                    <a:endParaRPr lang="de-DE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CF-3D28-48FB-8FCE-666636A56A27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23522696-7C50-448A-8F59-7978EBD16A0D}" type="CELLRANGE">
                      <a:rPr lang="en-US"/>
                      <a:pPr/>
                      <a:t>[ZELLBEREICH]</a:t>
                    </a:fld>
                    <a:endParaRPr lang="de-DE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D0-3D28-48FB-8FCE-666636A56A27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C9EC7435-6B6D-4384-A2E0-6E51C0E564F5}" type="CELLRANGE">
                      <a:rPr lang="en-US"/>
                      <a:pPr/>
                      <a:t>[ZELLBEREICH]</a:t>
                    </a:fld>
                    <a:endParaRPr lang="de-DE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D1-3D28-48FB-8FCE-666636A56A27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D2502A8B-27D7-482E-A6B2-30B96444248D}" type="CELLRANGE">
                      <a:rPr lang="en-US"/>
                      <a:pPr/>
                      <a:t>[ZELLBEREICH]</a:t>
                    </a:fld>
                    <a:endParaRPr lang="de-DE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D2-3D28-48FB-8FCE-666636A56A27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117AFC06-C9AC-48B3-99DB-7B021DD1A918}" type="CELLRANGE">
                      <a:rPr lang="en-US"/>
                      <a:pPr/>
                      <a:t>[ZELLBEREICH]</a:t>
                    </a:fld>
                    <a:endParaRPr lang="de-DE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D3-3D28-48FB-8FCE-666636A56A27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19A82266-2B35-4AC0-A067-14ED5FA4FC17}" type="CELLRANGE">
                      <a:rPr lang="en-US"/>
                      <a:pPr/>
                      <a:t>[ZELLBEREICH]</a:t>
                    </a:fld>
                    <a:endParaRPr lang="de-DE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D4-3D28-48FB-8FCE-666636A56A27}"/>
                </c:ext>
              </c:extLst>
            </c:dLbl>
            <c:numFmt formatCode="General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raw!$A$2:$A$211</c:f>
              <c:numCache>
                <c:formatCode>0.00</c:formatCode>
                <c:ptCount val="210"/>
                <c:pt idx="0">
                  <c:v>15.26</c:v>
                </c:pt>
                <c:pt idx="1">
                  <c:v>14.88</c:v>
                </c:pt>
                <c:pt idx="2">
                  <c:v>14.29</c:v>
                </c:pt>
                <c:pt idx="3">
                  <c:v>13.84</c:v>
                </c:pt>
                <c:pt idx="4">
                  <c:v>16.14</c:v>
                </c:pt>
                <c:pt idx="5">
                  <c:v>14.38</c:v>
                </c:pt>
                <c:pt idx="6">
                  <c:v>14.69</c:v>
                </c:pt>
                <c:pt idx="7">
                  <c:v>14.11</c:v>
                </c:pt>
                <c:pt idx="8">
                  <c:v>16.63</c:v>
                </c:pt>
                <c:pt idx="9">
                  <c:v>16.440000000000001</c:v>
                </c:pt>
                <c:pt idx="10">
                  <c:v>15.26</c:v>
                </c:pt>
                <c:pt idx="11">
                  <c:v>14.03</c:v>
                </c:pt>
                <c:pt idx="12">
                  <c:v>13.89</c:v>
                </c:pt>
                <c:pt idx="13">
                  <c:v>13.78</c:v>
                </c:pt>
                <c:pt idx="14">
                  <c:v>13.74</c:v>
                </c:pt>
                <c:pt idx="15">
                  <c:v>14.59</c:v>
                </c:pt>
                <c:pt idx="16">
                  <c:v>13.99</c:v>
                </c:pt>
                <c:pt idx="17">
                  <c:v>15.69</c:v>
                </c:pt>
                <c:pt idx="18">
                  <c:v>14.7</c:v>
                </c:pt>
                <c:pt idx="19">
                  <c:v>12.72</c:v>
                </c:pt>
                <c:pt idx="20">
                  <c:v>14.16</c:v>
                </c:pt>
                <c:pt idx="21">
                  <c:v>14.11</c:v>
                </c:pt>
                <c:pt idx="22">
                  <c:v>15.88</c:v>
                </c:pt>
                <c:pt idx="23">
                  <c:v>12.08</c:v>
                </c:pt>
                <c:pt idx="24">
                  <c:v>15.01</c:v>
                </c:pt>
                <c:pt idx="25">
                  <c:v>16.190000000000001</c:v>
                </c:pt>
                <c:pt idx="26">
                  <c:v>13.02</c:v>
                </c:pt>
                <c:pt idx="27">
                  <c:v>12.74</c:v>
                </c:pt>
                <c:pt idx="28">
                  <c:v>14.11</c:v>
                </c:pt>
                <c:pt idx="29">
                  <c:v>13.45</c:v>
                </c:pt>
                <c:pt idx="30">
                  <c:v>13.16</c:v>
                </c:pt>
                <c:pt idx="31">
                  <c:v>15.49</c:v>
                </c:pt>
                <c:pt idx="32">
                  <c:v>14.09</c:v>
                </c:pt>
                <c:pt idx="33">
                  <c:v>13.94</c:v>
                </c:pt>
                <c:pt idx="34">
                  <c:v>15.05</c:v>
                </c:pt>
                <c:pt idx="35">
                  <c:v>16.12</c:v>
                </c:pt>
                <c:pt idx="36">
                  <c:v>16.2</c:v>
                </c:pt>
                <c:pt idx="37">
                  <c:v>17.079999999999998</c:v>
                </c:pt>
                <c:pt idx="38">
                  <c:v>14.8</c:v>
                </c:pt>
                <c:pt idx="39">
                  <c:v>14.28</c:v>
                </c:pt>
                <c:pt idx="40">
                  <c:v>13.54</c:v>
                </c:pt>
                <c:pt idx="41">
                  <c:v>13.5</c:v>
                </c:pt>
                <c:pt idx="42">
                  <c:v>13.16</c:v>
                </c:pt>
                <c:pt idx="43">
                  <c:v>15.5</c:v>
                </c:pt>
                <c:pt idx="44">
                  <c:v>15.11</c:v>
                </c:pt>
                <c:pt idx="45">
                  <c:v>13.8</c:v>
                </c:pt>
                <c:pt idx="46">
                  <c:v>15.36</c:v>
                </c:pt>
                <c:pt idx="47">
                  <c:v>14.99</c:v>
                </c:pt>
                <c:pt idx="48">
                  <c:v>14.79</c:v>
                </c:pt>
                <c:pt idx="49">
                  <c:v>14.86</c:v>
                </c:pt>
                <c:pt idx="50">
                  <c:v>14.43</c:v>
                </c:pt>
                <c:pt idx="51">
                  <c:v>15.78</c:v>
                </c:pt>
                <c:pt idx="52">
                  <c:v>14.49</c:v>
                </c:pt>
                <c:pt idx="53">
                  <c:v>14.33</c:v>
                </c:pt>
                <c:pt idx="54">
                  <c:v>14.52</c:v>
                </c:pt>
                <c:pt idx="55">
                  <c:v>15.03</c:v>
                </c:pt>
                <c:pt idx="56">
                  <c:v>14.46</c:v>
                </c:pt>
                <c:pt idx="57">
                  <c:v>14.92</c:v>
                </c:pt>
                <c:pt idx="58">
                  <c:v>15.38</c:v>
                </c:pt>
                <c:pt idx="59">
                  <c:v>12.11</c:v>
                </c:pt>
                <c:pt idx="60">
                  <c:v>11.42</c:v>
                </c:pt>
                <c:pt idx="61">
                  <c:v>11.23</c:v>
                </c:pt>
                <c:pt idx="62">
                  <c:v>12.36</c:v>
                </c:pt>
                <c:pt idx="63">
                  <c:v>13.22</c:v>
                </c:pt>
                <c:pt idx="64">
                  <c:v>12.78</c:v>
                </c:pt>
                <c:pt idx="65">
                  <c:v>12.88</c:v>
                </c:pt>
                <c:pt idx="66">
                  <c:v>14.34</c:v>
                </c:pt>
                <c:pt idx="67">
                  <c:v>14.01</c:v>
                </c:pt>
                <c:pt idx="68">
                  <c:v>14.37</c:v>
                </c:pt>
                <c:pt idx="69">
                  <c:v>12.73</c:v>
                </c:pt>
                <c:pt idx="70">
                  <c:v>17.63</c:v>
                </c:pt>
                <c:pt idx="71">
                  <c:v>16.84</c:v>
                </c:pt>
                <c:pt idx="72">
                  <c:v>17.260000000000002</c:v>
                </c:pt>
                <c:pt idx="73">
                  <c:v>19.11</c:v>
                </c:pt>
                <c:pt idx="74">
                  <c:v>16.82</c:v>
                </c:pt>
                <c:pt idx="75">
                  <c:v>16.77</c:v>
                </c:pt>
                <c:pt idx="76">
                  <c:v>17.32</c:v>
                </c:pt>
                <c:pt idx="77">
                  <c:v>20.71</c:v>
                </c:pt>
                <c:pt idx="78">
                  <c:v>18.940000000000001</c:v>
                </c:pt>
                <c:pt idx="79">
                  <c:v>17.12</c:v>
                </c:pt>
                <c:pt idx="80">
                  <c:v>16.53</c:v>
                </c:pt>
                <c:pt idx="81">
                  <c:v>18.72</c:v>
                </c:pt>
                <c:pt idx="82">
                  <c:v>20.2</c:v>
                </c:pt>
                <c:pt idx="83">
                  <c:v>19.57</c:v>
                </c:pt>
                <c:pt idx="84">
                  <c:v>19.510000000000002</c:v>
                </c:pt>
                <c:pt idx="85">
                  <c:v>18.27</c:v>
                </c:pt>
                <c:pt idx="86">
                  <c:v>18.88</c:v>
                </c:pt>
                <c:pt idx="87">
                  <c:v>18.98</c:v>
                </c:pt>
                <c:pt idx="88">
                  <c:v>21.18</c:v>
                </c:pt>
                <c:pt idx="89">
                  <c:v>20.88</c:v>
                </c:pt>
                <c:pt idx="90">
                  <c:v>20.100000000000001</c:v>
                </c:pt>
                <c:pt idx="91">
                  <c:v>18.760000000000002</c:v>
                </c:pt>
                <c:pt idx="92">
                  <c:v>18.809999999999999</c:v>
                </c:pt>
                <c:pt idx="93">
                  <c:v>18.59</c:v>
                </c:pt>
                <c:pt idx="94">
                  <c:v>18.36</c:v>
                </c:pt>
                <c:pt idx="95">
                  <c:v>16.87</c:v>
                </c:pt>
                <c:pt idx="96">
                  <c:v>19.309999999999999</c:v>
                </c:pt>
                <c:pt idx="97">
                  <c:v>18.98</c:v>
                </c:pt>
                <c:pt idx="98">
                  <c:v>18.170000000000002</c:v>
                </c:pt>
                <c:pt idx="99">
                  <c:v>18.72</c:v>
                </c:pt>
                <c:pt idx="100">
                  <c:v>16.41</c:v>
                </c:pt>
                <c:pt idx="101">
                  <c:v>17.989999999999998</c:v>
                </c:pt>
                <c:pt idx="102">
                  <c:v>19.46</c:v>
                </c:pt>
                <c:pt idx="103">
                  <c:v>19.18</c:v>
                </c:pt>
                <c:pt idx="104">
                  <c:v>18.95</c:v>
                </c:pt>
                <c:pt idx="105">
                  <c:v>18.829999999999998</c:v>
                </c:pt>
                <c:pt idx="106">
                  <c:v>18.850000000000001</c:v>
                </c:pt>
                <c:pt idx="107">
                  <c:v>17.63</c:v>
                </c:pt>
                <c:pt idx="108">
                  <c:v>19.940000000000001</c:v>
                </c:pt>
                <c:pt idx="109">
                  <c:v>18.55</c:v>
                </c:pt>
                <c:pt idx="110">
                  <c:v>18.45</c:v>
                </c:pt>
                <c:pt idx="111">
                  <c:v>19.38</c:v>
                </c:pt>
                <c:pt idx="112">
                  <c:v>19.13</c:v>
                </c:pt>
                <c:pt idx="113">
                  <c:v>19.14</c:v>
                </c:pt>
                <c:pt idx="114">
                  <c:v>20.97</c:v>
                </c:pt>
                <c:pt idx="115">
                  <c:v>19.059999999999999</c:v>
                </c:pt>
                <c:pt idx="116">
                  <c:v>18.96</c:v>
                </c:pt>
                <c:pt idx="117">
                  <c:v>19.149999999999999</c:v>
                </c:pt>
                <c:pt idx="118">
                  <c:v>18.89</c:v>
                </c:pt>
                <c:pt idx="119">
                  <c:v>20.03</c:v>
                </c:pt>
                <c:pt idx="120">
                  <c:v>20.239999999999998</c:v>
                </c:pt>
                <c:pt idx="121">
                  <c:v>18.14</c:v>
                </c:pt>
                <c:pt idx="122">
                  <c:v>16.170000000000002</c:v>
                </c:pt>
                <c:pt idx="123">
                  <c:v>18.43</c:v>
                </c:pt>
                <c:pt idx="124">
                  <c:v>15.99</c:v>
                </c:pt>
                <c:pt idx="125">
                  <c:v>18.75</c:v>
                </c:pt>
                <c:pt idx="126">
                  <c:v>18.649999999999999</c:v>
                </c:pt>
                <c:pt idx="127">
                  <c:v>17.98</c:v>
                </c:pt>
                <c:pt idx="128">
                  <c:v>20.16</c:v>
                </c:pt>
                <c:pt idx="129">
                  <c:v>17.55</c:v>
                </c:pt>
                <c:pt idx="130">
                  <c:v>18.3</c:v>
                </c:pt>
                <c:pt idx="131">
                  <c:v>18.940000000000001</c:v>
                </c:pt>
                <c:pt idx="132">
                  <c:v>15.38</c:v>
                </c:pt>
                <c:pt idx="133">
                  <c:v>16.16</c:v>
                </c:pt>
                <c:pt idx="134">
                  <c:v>15.56</c:v>
                </c:pt>
                <c:pt idx="135">
                  <c:v>15.38</c:v>
                </c:pt>
                <c:pt idx="136">
                  <c:v>17.36</c:v>
                </c:pt>
                <c:pt idx="137">
                  <c:v>15.57</c:v>
                </c:pt>
                <c:pt idx="138">
                  <c:v>15.6</c:v>
                </c:pt>
                <c:pt idx="139">
                  <c:v>16.23</c:v>
                </c:pt>
                <c:pt idx="140">
                  <c:v>13.07</c:v>
                </c:pt>
                <c:pt idx="141">
                  <c:v>13.32</c:v>
                </c:pt>
                <c:pt idx="142">
                  <c:v>13.34</c:v>
                </c:pt>
                <c:pt idx="143">
                  <c:v>12.22</c:v>
                </c:pt>
                <c:pt idx="144">
                  <c:v>11.82</c:v>
                </c:pt>
                <c:pt idx="145">
                  <c:v>11.21</c:v>
                </c:pt>
                <c:pt idx="146">
                  <c:v>11.43</c:v>
                </c:pt>
                <c:pt idx="147">
                  <c:v>12.49</c:v>
                </c:pt>
                <c:pt idx="148">
                  <c:v>12.7</c:v>
                </c:pt>
                <c:pt idx="149">
                  <c:v>10.79</c:v>
                </c:pt>
                <c:pt idx="150">
                  <c:v>11.83</c:v>
                </c:pt>
                <c:pt idx="151">
                  <c:v>12.01</c:v>
                </c:pt>
                <c:pt idx="152">
                  <c:v>12.26</c:v>
                </c:pt>
                <c:pt idx="153">
                  <c:v>11.18</c:v>
                </c:pt>
                <c:pt idx="154">
                  <c:v>11.36</c:v>
                </c:pt>
                <c:pt idx="155">
                  <c:v>11.19</c:v>
                </c:pt>
                <c:pt idx="156">
                  <c:v>11.34</c:v>
                </c:pt>
                <c:pt idx="157">
                  <c:v>12.13</c:v>
                </c:pt>
                <c:pt idx="158">
                  <c:v>11.75</c:v>
                </c:pt>
                <c:pt idx="159">
                  <c:v>11.49</c:v>
                </c:pt>
                <c:pt idx="160">
                  <c:v>12.54</c:v>
                </c:pt>
                <c:pt idx="161">
                  <c:v>12.02</c:v>
                </c:pt>
                <c:pt idx="162">
                  <c:v>12.05</c:v>
                </c:pt>
                <c:pt idx="163">
                  <c:v>12.55</c:v>
                </c:pt>
                <c:pt idx="164">
                  <c:v>11.14</c:v>
                </c:pt>
                <c:pt idx="165">
                  <c:v>12.1</c:v>
                </c:pt>
                <c:pt idx="166">
                  <c:v>12.44</c:v>
                </c:pt>
                <c:pt idx="167">
                  <c:v>12.15</c:v>
                </c:pt>
                <c:pt idx="168">
                  <c:v>11.35</c:v>
                </c:pt>
                <c:pt idx="169">
                  <c:v>11.24</c:v>
                </c:pt>
                <c:pt idx="170">
                  <c:v>11.02</c:v>
                </c:pt>
                <c:pt idx="171">
                  <c:v>11.55</c:v>
                </c:pt>
                <c:pt idx="172">
                  <c:v>11.27</c:v>
                </c:pt>
                <c:pt idx="173">
                  <c:v>11.4</c:v>
                </c:pt>
                <c:pt idx="174">
                  <c:v>10.83</c:v>
                </c:pt>
                <c:pt idx="175">
                  <c:v>10.8</c:v>
                </c:pt>
                <c:pt idx="176">
                  <c:v>11.26</c:v>
                </c:pt>
                <c:pt idx="177">
                  <c:v>10.74</c:v>
                </c:pt>
                <c:pt idx="178">
                  <c:v>11.48</c:v>
                </c:pt>
                <c:pt idx="179">
                  <c:v>12.21</c:v>
                </c:pt>
                <c:pt idx="180">
                  <c:v>11.41</c:v>
                </c:pt>
                <c:pt idx="181">
                  <c:v>12.46</c:v>
                </c:pt>
                <c:pt idx="182">
                  <c:v>12.19</c:v>
                </c:pt>
                <c:pt idx="183">
                  <c:v>11.65</c:v>
                </c:pt>
                <c:pt idx="184">
                  <c:v>12.89</c:v>
                </c:pt>
                <c:pt idx="185">
                  <c:v>11.56</c:v>
                </c:pt>
                <c:pt idx="186">
                  <c:v>11.81</c:v>
                </c:pt>
                <c:pt idx="187">
                  <c:v>10.91</c:v>
                </c:pt>
                <c:pt idx="188">
                  <c:v>11.23</c:v>
                </c:pt>
                <c:pt idx="189">
                  <c:v>10.59</c:v>
                </c:pt>
                <c:pt idx="190">
                  <c:v>10.93</c:v>
                </c:pt>
                <c:pt idx="191">
                  <c:v>11.27</c:v>
                </c:pt>
                <c:pt idx="192">
                  <c:v>11.87</c:v>
                </c:pt>
                <c:pt idx="193">
                  <c:v>10.82</c:v>
                </c:pt>
                <c:pt idx="194">
                  <c:v>12.11</c:v>
                </c:pt>
                <c:pt idx="195">
                  <c:v>12.8</c:v>
                </c:pt>
                <c:pt idx="196">
                  <c:v>12.79</c:v>
                </c:pt>
                <c:pt idx="197">
                  <c:v>13.37</c:v>
                </c:pt>
                <c:pt idx="198">
                  <c:v>12.62</c:v>
                </c:pt>
                <c:pt idx="199">
                  <c:v>12.76</c:v>
                </c:pt>
                <c:pt idx="200">
                  <c:v>12.38</c:v>
                </c:pt>
                <c:pt idx="201">
                  <c:v>12.67</c:v>
                </c:pt>
                <c:pt idx="202">
                  <c:v>11.18</c:v>
                </c:pt>
                <c:pt idx="203">
                  <c:v>12.7</c:v>
                </c:pt>
                <c:pt idx="204">
                  <c:v>12.37</c:v>
                </c:pt>
                <c:pt idx="205">
                  <c:v>12.19</c:v>
                </c:pt>
                <c:pt idx="206">
                  <c:v>11.23</c:v>
                </c:pt>
                <c:pt idx="207">
                  <c:v>13.2</c:v>
                </c:pt>
                <c:pt idx="208">
                  <c:v>11.84</c:v>
                </c:pt>
                <c:pt idx="209">
                  <c:v>12.3</c:v>
                </c:pt>
              </c:numCache>
            </c:numRef>
          </c:xVal>
          <c:yVal>
            <c:numRef>
              <c:f>raw!$C$2:$C$211</c:f>
              <c:numCache>
                <c:formatCode>0.00</c:formatCode>
                <c:ptCount val="210"/>
                <c:pt idx="0">
                  <c:v>0.871</c:v>
                </c:pt>
                <c:pt idx="1">
                  <c:v>0.88109999999999999</c:v>
                </c:pt>
                <c:pt idx="2">
                  <c:v>0.90500000000000003</c:v>
                </c:pt>
                <c:pt idx="3">
                  <c:v>0.89549999999999996</c:v>
                </c:pt>
                <c:pt idx="4">
                  <c:v>0.90339999999999998</c:v>
                </c:pt>
                <c:pt idx="5">
                  <c:v>0.89510000000000001</c:v>
                </c:pt>
                <c:pt idx="6">
                  <c:v>0.87990000000000002</c:v>
                </c:pt>
                <c:pt idx="7">
                  <c:v>0.8911</c:v>
                </c:pt>
                <c:pt idx="8">
                  <c:v>0.87470000000000003</c:v>
                </c:pt>
                <c:pt idx="9">
                  <c:v>0.88800000000000001</c:v>
                </c:pt>
                <c:pt idx="10">
                  <c:v>0.86960000000000004</c:v>
                </c:pt>
                <c:pt idx="11">
                  <c:v>0.87960000000000005</c:v>
                </c:pt>
                <c:pt idx="12">
                  <c:v>0.88800000000000001</c:v>
                </c:pt>
                <c:pt idx="13">
                  <c:v>0.87590000000000001</c:v>
                </c:pt>
                <c:pt idx="14">
                  <c:v>0.87439999999999996</c:v>
                </c:pt>
                <c:pt idx="15">
                  <c:v>0.89929999999999999</c:v>
                </c:pt>
                <c:pt idx="16">
                  <c:v>0.91830000000000001</c:v>
                </c:pt>
                <c:pt idx="17">
                  <c:v>0.90580000000000005</c:v>
                </c:pt>
                <c:pt idx="18">
                  <c:v>0.9153</c:v>
                </c:pt>
                <c:pt idx="19">
                  <c:v>0.86860000000000004</c:v>
                </c:pt>
                <c:pt idx="20">
                  <c:v>0.85840000000000005</c:v>
                </c:pt>
                <c:pt idx="21">
                  <c:v>0.87219999999999998</c:v>
                </c:pt>
                <c:pt idx="22">
                  <c:v>0.89880000000000004</c:v>
                </c:pt>
                <c:pt idx="23">
                  <c:v>0.86639999999999995</c:v>
                </c:pt>
                <c:pt idx="24">
                  <c:v>0.86570000000000003</c:v>
                </c:pt>
                <c:pt idx="25">
                  <c:v>0.88490000000000002</c:v>
                </c:pt>
                <c:pt idx="26">
                  <c:v>0.86409999999999998</c:v>
                </c:pt>
                <c:pt idx="27">
                  <c:v>0.85640000000000005</c:v>
                </c:pt>
                <c:pt idx="28">
                  <c:v>0.88200000000000001</c:v>
                </c:pt>
                <c:pt idx="29">
                  <c:v>0.86040000000000005</c:v>
                </c:pt>
                <c:pt idx="30">
                  <c:v>0.86619999999999997</c:v>
                </c:pt>
                <c:pt idx="31">
                  <c:v>0.87239999999999995</c:v>
                </c:pt>
                <c:pt idx="32">
                  <c:v>0.85289999999999999</c:v>
                </c:pt>
                <c:pt idx="33">
                  <c:v>0.87280000000000002</c:v>
                </c:pt>
                <c:pt idx="34">
                  <c:v>0.87790000000000001</c:v>
                </c:pt>
                <c:pt idx="35">
                  <c:v>0.9</c:v>
                </c:pt>
                <c:pt idx="36">
                  <c:v>0.87339999999999995</c:v>
                </c:pt>
                <c:pt idx="37">
                  <c:v>0.90790000000000004</c:v>
                </c:pt>
                <c:pt idx="38">
                  <c:v>0.88229999999999997</c:v>
                </c:pt>
                <c:pt idx="39">
                  <c:v>0.89439999999999997</c:v>
                </c:pt>
                <c:pt idx="40">
                  <c:v>0.8871</c:v>
                </c:pt>
                <c:pt idx="41">
                  <c:v>0.88519999999999999</c:v>
                </c:pt>
                <c:pt idx="42">
                  <c:v>0.90090000000000003</c:v>
                </c:pt>
                <c:pt idx="43">
                  <c:v>0.88200000000000001</c:v>
                </c:pt>
                <c:pt idx="44">
                  <c:v>0.89859999999999995</c:v>
                </c:pt>
                <c:pt idx="45">
                  <c:v>0.87939999999999996</c:v>
                </c:pt>
                <c:pt idx="46">
                  <c:v>0.8861</c:v>
                </c:pt>
                <c:pt idx="47">
                  <c:v>0.88829999999999998</c:v>
                </c:pt>
                <c:pt idx="48">
                  <c:v>0.88190000000000002</c:v>
                </c:pt>
                <c:pt idx="49">
                  <c:v>0.86760000000000004</c:v>
                </c:pt>
                <c:pt idx="50">
                  <c:v>0.87509999999999999</c:v>
                </c:pt>
                <c:pt idx="51">
                  <c:v>0.89229999999999998</c:v>
                </c:pt>
                <c:pt idx="52">
                  <c:v>0.8538</c:v>
                </c:pt>
                <c:pt idx="53">
                  <c:v>0.8831</c:v>
                </c:pt>
                <c:pt idx="54">
                  <c:v>0.85570000000000002</c:v>
                </c:pt>
                <c:pt idx="55">
                  <c:v>0.86580000000000001</c:v>
                </c:pt>
                <c:pt idx="56">
                  <c:v>0.88180000000000003</c:v>
                </c:pt>
                <c:pt idx="57">
                  <c:v>0.90059999999999996</c:v>
                </c:pt>
                <c:pt idx="58">
                  <c:v>0.88570000000000004</c:v>
                </c:pt>
                <c:pt idx="59">
                  <c:v>0.83919999999999995</c:v>
                </c:pt>
                <c:pt idx="60">
                  <c:v>0.86829999999999996</c:v>
                </c:pt>
                <c:pt idx="61">
                  <c:v>0.88400000000000001</c:v>
                </c:pt>
                <c:pt idx="62">
                  <c:v>0.89229999999999998</c:v>
                </c:pt>
                <c:pt idx="63">
                  <c:v>0.86799999999999999</c:v>
                </c:pt>
                <c:pt idx="64">
                  <c:v>0.87160000000000004</c:v>
                </c:pt>
                <c:pt idx="65">
                  <c:v>0.88790000000000002</c:v>
                </c:pt>
                <c:pt idx="66">
                  <c:v>0.87260000000000004</c:v>
                </c:pt>
                <c:pt idx="67">
                  <c:v>0.86250000000000004</c:v>
                </c:pt>
                <c:pt idx="68">
                  <c:v>0.87260000000000004</c:v>
                </c:pt>
                <c:pt idx="69">
                  <c:v>0.8458</c:v>
                </c:pt>
                <c:pt idx="70">
                  <c:v>0.86729999999999996</c:v>
                </c:pt>
                <c:pt idx="71">
                  <c:v>0.86229999999999996</c:v>
                </c:pt>
                <c:pt idx="72">
                  <c:v>0.87629999999999997</c:v>
                </c:pt>
                <c:pt idx="73">
                  <c:v>0.90810000000000002</c:v>
                </c:pt>
                <c:pt idx="74">
                  <c:v>0.87860000000000005</c:v>
                </c:pt>
                <c:pt idx="75">
                  <c:v>0.86380000000000001</c:v>
                </c:pt>
                <c:pt idx="76">
                  <c:v>0.8599</c:v>
                </c:pt>
                <c:pt idx="77">
                  <c:v>0.87629999999999997</c:v>
                </c:pt>
                <c:pt idx="78">
                  <c:v>0.875</c:v>
                </c:pt>
                <c:pt idx="79">
                  <c:v>0.88919999999999999</c:v>
                </c:pt>
                <c:pt idx="80">
                  <c:v>0.88229999999999997</c:v>
                </c:pt>
                <c:pt idx="81">
                  <c:v>0.89770000000000005</c:v>
                </c:pt>
                <c:pt idx="82">
                  <c:v>0.88939999999999997</c:v>
                </c:pt>
                <c:pt idx="83">
                  <c:v>0.87790000000000001</c:v>
                </c:pt>
                <c:pt idx="84">
                  <c:v>0.878</c:v>
                </c:pt>
                <c:pt idx="85">
                  <c:v>0.88700000000000001</c:v>
                </c:pt>
                <c:pt idx="86">
                  <c:v>0.89690000000000003</c:v>
                </c:pt>
                <c:pt idx="87">
                  <c:v>0.85899999999999999</c:v>
                </c:pt>
                <c:pt idx="88">
                  <c:v>0.89890000000000003</c:v>
                </c:pt>
                <c:pt idx="89">
                  <c:v>0.90310000000000001</c:v>
                </c:pt>
                <c:pt idx="90">
                  <c:v>0.87460000000000004</c:v>
                </c:pt>
                <c:pt idx="91">
                  <c:v>0.89839999999999998</c:v>
                </c:pt>
                <c:pt idx="92">
                  <c:v>0.89059999999999995</c:v>
                </c:pt>
                <c:pt idx="93">
                  <c:v>0.90659999999999996</c:v>
                </c:pt>
                <c:pt idx="94">
                  <c:v>0.84519999999999995</c:v>
                </c:pt>
                <c:pt idx="95">
                  <c:v>0.86480000000000001</c:v>
                </c:pt>
                <c:pt idx="96">
                  <c:v>0.88149999999999995</c:v>
                </c:pt>
                <c:pt idx="97">
                  <c:v>0.86870000000000003</c:v>
                </c:pt>
                <c:pt idx="98">
                  <c:v>0.86370000000000002</c:v>
                </c:pt>
                <c:pt idx="99">
                  <c:v>0.88100000000000001</c:v>
                </c:pt>
                <c:pt idx="100">
                  <c:v>0.88660000000000005</c:v>
                </c:pt>
                <c:pt idx="101">
                  <c:v>0.8992</c:v>
                </c:pt>
                <c:pt idx="102">
                  <c:v>0.89849999999999997</c:v>
                </c:pt>
                <c:pt idx="103">
                  <c:v>0.87170000000000003</c:v>
                </c:pt>
                <c:pt idx="104">
                  <c:v>0.88290000000000002</c:v>
                </c:pt>
                <c:pt idx="105">
                  <c:v>0.89170000000000005</c:v>
                </c:pt>
                <c:pt idx="106">
                  <c:v>0.90559999999999996</c:v>
                </c:pt>
                <c:pt idx="107">
                  <c:v>0.88</c:v>
                </c:pt>
                <c:pt idx="108">
                  <c:v>0.87519999999999998</c:v>
                </c:pt>
                <c:pt idx="109">
                  <c:v>0.88649999999999995</c:v>
                </c:pt>
                <c:pt idx="110">
                  <c:v>0.8921</c:v>
                </c:pt>
                <c:pt idx="111">
                  <c:v>0.87160000000000004</c:v>
                </c:pt>
                <c:pt idx="112">
                  <c:v>0.90349999999999997</c:v>
                </c:pt>
                <c:pt idx="113">
                  <c:v>0.87219999999999998</c:v>
                </c:pt>
                <c:pt idx="114">
                  <c:v>0.88590000000000002</c:v>
                </c:pt>
                <c:pt idx="115">
                  <c:v>0.88539999999999996</c:v>
                </c:pt>
                <c:pt idx="116">
                  <c:v>0.90769999999999995</c:v>
                </c:pt>
                <c:pt idx="117">
                  <c:v>0.88900000000000001</c:v>
                </c:pt>
                <c:pt idx="118">
                  <c:v>0.90080000000000005</c:v>
                </c:pt>
                <c:pt idx="119">
                  <c:v>0.88109999999999999</c:v>
                </c:pt>
                <c:pt idx="120">
                  <c:v>0.88970000000000005</c:v>
                </c:pt>
                <c:pt idx="121">
                  <c:v>0.87719999999999998</c:v>
                </c:pt>
                <c:pt idx="122">
                  <c:v>0.85880000000000001</c:v>
                </c:pt>
                <c:pt idx="123">
                  <c:v>0.90769999999999995</c:v>
                </c:pt>
                <c:pt idx="124">
                  <c:v>0.90639999999999998</c:v>
                </c:pt>
                <c:pt idx="125">
                  <c:v>0.89990000000000003</c:v>
                </c:pt>
                <c:pt idx="126">
                  <c:v>0.86980000000000002</c:v>
                </c:pt>
                <c:pt idx="127">
                  <c:v>0.89929999999999999</c:v>
                </c:pt>
                <c:pt idx="128">
                  <c:v>0.87350000000000005</c:v>
                </c:pt>
                <c:pt idx="129">
                  <c:v>0.89910000000000001</c:v>
                </c:pt>
                <c:pt idx="130">
                  <c:v>0.91080000000000005</c:v>
                </c:pt>
                <c:pt idx="131">
                  <c:v>0.89419999999999999</c:v>
                </c:pt>
                <c:pt idx="132">
                  <c:v>0.87060000000000004</c:v>
                </c:pt>
                <c:pt idx="133">
                  <c:v>0.86439999999999995</c:v>
                </c:pt>
                <c:pt idx="134">
                  <c:v>0.88229999999999997</c:v>
                </c:pt>
                <c:pt idx="135">
                  <c:v>0.89900000000000002</c:v>
                </c:pt>
                <c:pt idx="136">
                  <c:v>0.87849999999999995</c:v>
                </c:pt>
                <c:pt idx="137">
                  <c:v>0.85270000000000001</c:v>
                </c:pt>
                <c:pt idx="138">
                  <c:v>0.85799999999999998</c:v>
                </c:pt>
                <c:pt idx="139">
                  <c:v>0.88500000000000001</c:v>
                </c:pt>
                <c:pt idx="140">
                  <c:v>0.84799999999999998</c:v>
                </c:pt>
                <c:pt idx="141">
                  <c:v>0.86129999999999995</c:v>
                </c:pt>
                <c:pt idx="142">
                  <c:v>0.86199999999999999</c:v>
                </c:pt>
                <c:pt idx="143">
                  <c:v>0.86519999999999997</c:v>
                </c:pt>
                <c:pt idx="144">
                  <c:v>0.82740000000000002</c:v>
                </c:pt>
                <c:pt idx="145">
                  <c:v>0.81669999999999998</c:v>
                </c:pt>
                <c:pt idx="146">
                  <c:v>0.83350000000000002</c:v>
                </c:pt>
                <c:pt idx="147">
                  <c:v>0.86580000000000001</c:v>
                </c:pt>
                <c:pt idx="148">
                  <c:v>0.84909999999999997</c:v>
                </c:pt>
                <c:pt idx="149">
                  <c:v>0.81069999999999998</c:v>
                </c:pt>
                <c:pt idx="150">
                  <c:v>0.84960000000000002</c:v>
                </c:pt>
                <c:pt idx="151">
                  <c:v>0.82489999999999997</c:v>
                </c:pt>
                <c:pt idx="152">
                  <c:v>0.83330000000000004</c:v>
                </c:pt>
                <c:pt idx="153">
                  <c:v>0.8266</c:v>
                </c:pt>
                <c:pt idx="154">
                  <c:v>0.83819999999999995</c:v>
                </c:pt>
                <c:pt idx="155">
                  <c:v>0.82530000000000003</c:v>
                </c:pt>
                <c:pt idx="156">
                  <c:v>0.85960000000000003</c:v>
                </c:pt>
                <c:pt idx="157">
                  <c:v>0.80810000000000004</c:v>
                </c:pt>
                <c:pt idx="158">
                  <c:v>0.80820000000000003</c:v>
                </c:pt>
                <c:pt idx="159">
                  <c:v>0.82630000000000003</c:v>
                </c:pt>
                <c:pt idx="160">
                  <c:v>0.84250000000000003</c:v>
                </c:pt>
                <c:pt idx="161">
                  <c:v>0.85029999999999994</c:v>
                </c:pt>
                <c:pt idx="162">
                  <c:v>0.84160000000000001</c:v>
                </c:pt>
                <c:pt idx="163">
                  <c:v>0.85580000000000001</c:v>
                </c:pt>
                <c:pt idx="164">
                  <c:v>0.85580000000000001</c:v>
                </c:pt>
                <c:pt idx="165">
                  <c:v>0.87929999999999997</c:v>
                </c:pt>
                <c:pt idx="166">
                  <c:v>0.84619999999999995</c:v>
                </c:pt>
                <c:pt idx="167">
                  <c:v>0.84430000000000005</c:v>
                </c:pt>
                <c:pt idx="168">
                  <c:v>0.82909999999999995</c:v>
                </c:pt>
                <c:pt idx="169">
                  <c:v>0.83589999999999998</c:v>
                </c:pt>
                <c:pt idx="170">
                  <c:v>0.81889999999999996</c:v>
                </c:pt>
                <c:pt idx="171">
                  <c:v>0.84550000000000003</c:v>
                </c:pt>
                <c:pt idx="172">
                  <c:v>0.84189999999999998</c:v>
                </c:pt>
                <c:pt idx="173">
                  <c:v>0.83750000000000002</c:v>
                </c:pt>
                <c:pt idx="174">
                  <c:v>0.80989999999999995</c:v>
                </c:pt>
                <c:pt idx="175">
                  <c:v>0.85899999999999999</c:v>
                </c:pt>
                <c:pt idx="176">
                  <c:v>0.83550000000000002</c:v>
                </c:pt>
                <c:pt idx="177">
                  <c:v>0.83289999999999997</c:v>
                </c:pt>
                <c:pt idx="178">
                  <c:v>0.84730000000000005</c:v>
                </c:pt>
                <c:pt idx="179">
                  <c:v>0.84530000000000005</c:v>
                </c:pt>
                <c:pt idx="180">
                  <c:v>0.85599999999999998</c:v>
                </c:pt>
                <c:pt idx="181">
                  <c:v>0.87060000000000004</c:v>
                </c:pt>
                <c:pt idx="182">
                  <c:v>0.8579</c:v>
                </c:pt>
                <c:pt idx="183">
                  <c:v>0.85750000000000004</c:v>
                </c:pt>
                <c:pt idx="184">
                  <c:v>0.85409999999999997</c:v>
                </c:pt>
                <c:pt idx="185">
                  <c:v>0.81979999999999997</c:v>
                </c:pt>
                <c:pt idx="186">
                  <c:v>0.81979999999999997</c:v>
                </c:pt>
                <c:pt idx="187">
                  <c:v>0.83720000000000006</c:v>
                </c:pt>
                <c:pt idx="188">
                  <c:v>0.85940000000000005</c:v>
                </c:pt>
                <c:pt idx="189">
                  <c:v>0.86480000000000001</c:v>
                </c:pt>
                <c:pt idx="190">
                  <c:v>0.83899999999999997</c:v>
                </c:pt>
                <c:pt idx="191">
                  <c:v>0.85629999999999995</c:v>
                </c:pt>
                <c:pt idx="192">
                  <c:v>0.87949999999999995</c:v>
                </c:pt>
                <c:pt idx="193">
                  <c:v>0.8256</c:v>
                </c:pt>
                <c:pt idx="194">
                  <c:v>0.8639</c:v>
                </c:pt>
                <c:pt idx="195">
                  <c:v>0.88600000000000001</c:v>
                </c:pt>
                <c:pt idx="196">
                  <c:v>0.87860000000000005</c:v>
                </c:pt>
                <c:pt idx="197">
                  <c:v>0.88490000000000002</c:v>
                </c:pt>
                <c:pt idx="198">
                  <c:v>0.84809999999999997</c:v>
                </c:pt>
                <c:pt idx="199">
                  <c:v>0.89639999999999997</c:v>
                </c:pt>
                <c:pt idx="200">
                  <c:v>0.8609</c:v>
                </c:pt>
                <c:pt idx="201">
                  <c:v>0.89770000000000005</c:v>
                </c:pt>
                <c:pt idx="202">
                  <c:v>0.86799999999999999</c:v>
                </c:pt>
                <c:pt idx="203">
                  <c:v>0.88739999999999997</c:v>
                </c:pt>
                <c:pt idx="204">
                  <c:v>0.85670000000000002</c:v>
                </c:pt>
                <c:pt idx="205">
                  <c:v>0.87829999999999997</c:v>
                </c:pt>
                <c:pt idx="206">
                  <c:v>0.85109999999999997</c:v>
                </c:pt>
                <c:pt idx="207">
                  <c:v>0.88829999999999998</c:v>
                </c:pt>
                <c:pt idx="208">
                  <c:v>0.85209999999999997</c:v>
                </c:pt>
                <c:pt idx="209">
                  <c:v>0.86839999999999995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raw!$H$2:$H$211</c15:f>
                <c15:dlblRangeCache>
                  <c:ptCount val="210"/>
                  <c:pt idx="0">
                    <c:v>1</c:v>
                  </c:pt>
                  <c:pt idx="1">
                    <c:v>1</c:v>
                  </c:pt>
                  <c:pt idx="2">
                    <c:v>1</c:v>
                  </c:pt>
                  <c:pt idx="3">
                    <c:v>1</c:v>
                  </c:pt>
                  <c:pt idx="4">
                    <c:v>1</c:v>
                  </c:pt>
                  <c:pt idx="5">
                    <c:v>1</c:v>
                  </c:pt>
                  <c:pt idx="6">
                    <c:v>1</c:v>
                  </c:pt>
                  <c:pt idx="7">
                    <c:v>1</c:v>
                  </c:pt>
                  <c:pt idx="8">
                    <c:v>1</c:v>
                  </c:pt>
                  <c:pt idx="9">
                    <c:v>1</c:v>
                  </c:pt>
                  <c:pt idx="10">
                    <c:v>1</c:v>
                  </c:pt>
                  <c:pt idx="11">
                    <c:v>1</c:v>
                  </c:pt>
                  <c:pt idx="12">
                    <c:v>1</c:v>
                  </c:pt>
                  <c:pt idx="13">
                    <c:v>1</c:v>
                  </c:pt>
                  <c:pt idx="14">
                    <c:v>1</c:v>
                  </c:pt>
                  <c:pt idx="15">
                    <c:v>1</c:v>
                  </c:pt>
                  <c:pt idx="16">
                    <c:v>1</c:v>
                  </c:pt>
                  <c:pt idx="17">
                    <c:v>1</c:v>
                  </c:pt>
                  <c:pt idx="18">
                    <c:v>1</c:v>
                  </c:pt>
                  <c:pt idx="19">
                    <c:v>1</c:v>
                  </c:pt>
                  <c:pt idx="20">
                    <c:v>1</c:v>
                  </c:pt>
                  <c:pt idx="21">
                    <c:v>1</c:v>
                  </c:pt>
                  <c:pt idx="22">
                    <c:v>1</c:v>
                  </c:pt>
                  <c:pt idx="23">
                    <c:v>1</c:v>
                  </c:pt>
                  <c:pt idx="24">
                    <c:v>1</c:v>
                  </c:pt>
                  <c:pt idx="25">
                    <c:v>1</c:v>
                  </c:pt>
                  <c:pt idx="26">
                    <c:v>1</c:v>
                  </c:pt>
                  <c:pt idx="27">
                    <c:v>1</c:v>
                  </c:pt>
                  <c:pt idx="28">
                    <c:v>1</c:v>
                  </c:pt>
                  <c:pt idx="29">
                    <c:v>1</c:v>
                  </c:pt>
                  <c:pt idx="30">
                    <c:v>1</c:v>
                  </c:pt>
                  <c:pt idx="31">
                    <c:v>1</c:v>
                  </c:pt>
                  <c:pt idx="32">
                    <c:v>1</c:v>
                  </c:pt>
                  <c:pt idx="33">
                    <c:v>1</c:v>
                  </c:pt>
                  <c:pt idx="34">
                    <c:v>1</c:v>
                  </c:pt>
                  <c:pt idx="35">
                    <c:v>1</c:v>
                  </c:pt>
                  <c:pt idx="36">
                    <c:v>1</c:v>
                  </c:pt>
                  <c:pt idx="37">
                    <c:v>1</c:v>
                  </c:pt>
                  <c:pt idx="38">
                    <c:v>1</c:v>
                  </c:pt>
                  <c:pt idx="39">
                    <c:v>1</c:v>
                  </c:pt>
                  <c:pt idx="40">
                    <c:v>1</c:v>
                  </c:pt>
                  <c:pt idx="41">
                    <c:v>1</c:v>
                  </c:pt>
                  <c:pt idx="42">
                    <c:v>1</c:v>
                  </c:pt>
                  <c:pt idx="43">
                    <c:v>1</c:v>
                  </c:pt>
                  <c:pt idx="44">
                    <c:v>1</c:v>
                  </c:pt>
                  <c:pt idx="45">
                    <c:v>1</c:v>
                  </c:pt>
                  <c:pt idx="46">
                    <c:v>1</c:v>
                  </c:pt>
                  <c:pt idx="47">
                    <c:v>1</c:v>
                  </c:pt>
                  <c:pt idx="48">
                    <c:v>1</c:v>
                  </c:pt>
                  <c:pt idx="49">
                    <c:v>1</c:v>
                  </c:pt>
                  <c:pt idx="50">
                    <c:v>1</c:v>
                  </c:pt>
                  <c:pt idx="51">
                    <c:v>1</c:v>
                  </c:pt>
                  <c:pt idx="52">
                    <c:v>1</c:v>
                  </c:pt>
                  <c:pt idx="53">
                    <c:v>1</c:v>
                  </c:pt>
                  <c:pt idx="54">
                    <c:v>1</c:v>
                  </c:pt>
                  <c:pt idx="55">
                    <c:v>1</c:v>
                  </c:pt>
                  <c:pt idx="56">
                    <c:v>1</c:v>
                  </c:pt>
                  <c:pt idx="57">
                    <c:v>1</c:v>
                  </c:pt>
                  <c:pt idx="58">
                    <c:v>1</c:v>
                  </c:pt>
                  <c:pt idx="59">
                    <c:v>1</c:v>
                  </c:pt>
                  <c:pt idx="60">
                    <c:v>1</c:v>
                  </c:pt>
                  <c:pt idx="61">
                    <c:v>1</c:v>
                  </c:pt>
                  <c:pt idx="62">
                    <c:v>1</c:v>
                  </c:pt>
                  <c:pt idx="63">
                    <c:v>1</c:v>
                  </c:pt>
                  <c:pt idx="64">
                    <c:v>1</c:v>
                  </c:pt>
                  <c:pt idx="65">
                    <c:v>1</c:v>
                  </c:pt>
                  <c:pt idx="66">
                    <c:v>1</c:v>
                  </c:pt>
                  <c:pt idx="67">
                    <c:v>1</c:v>
                  </c:pt>
                  <c:pt idx="68">
                    <c:v>1</c:v>
                  </c:pt>
                  <c:pt idx="69">
                    <c:v>1</c:v>
                  </c:pt>
                  <c:pt idx="70">
                    <c:v>2</c:v>
                  </c:pt>
                  <c:pt idx="71">
                    <c:v>2</c:v>
                  </c:pt>
                  <c:pt idx="72">
                    <c:v>2</c:v>
                  </c:pt>
                  <c:pt idx="73">
                    <c:v>2</c:v>
                  </c:pt>
                  <c:pt idx="74">
                    <c:v>2</c:v>
                  </c:pt>
                  <c:pt idx="75">
                    <c:v>2</c:v>
                  </c:pt>
                  <c:pt idx="76">
                    <c:v>2</c:v>
                  </c:pt>
                  <c:pt idx="77">
                    <c:v>2</c:v>
                  </c:pt>
                  <c:pt idx="78">
                    <c:v>2</c:v>
                  </c:pt>
                  <c:pt idx="79">
                    <c:v>2</c:v>
                  </c:pt>
                  <c:pt idx="80">
                    <c:v>2</c:v>
                  </c:pt>
                  <c:pt idx="81">
                    <c:v>2</c:v>
                  </c:pt>
                  <c:pt idx="82">
                    <c:v>2</c:v>
                  </c:pt>
                  <c:pt idx="83">
                    <c:v>2</c:v>
                  </c:pt>
                  <c:pt idx="84">
                    <c:v>2</c:v>
                  </c:pt>
                  <c:pt idx="85">
                    <c:v>2</c:v>
                  </c:pt>
                  <c:pt idx="86">
                    <c:v>2</c:v>
                  </c:pt>
                  <c:pt idx="87">
                    <c:v>2</c:v>
                  </c:pt>
                  <c:pt idx="88">
                    <c:v>2</c:v>
                  </c:pt>
                  <c:pt idx="89">
                    <c:v>2</c:v>
                  </c:pt>
                  <c:pt idx="90">
                    <c:v>2</c:v>
                  </c:pt>
                  <c:pt idx="91">
                    <c:v>2</c:v>
                  </c:pt>
                  <c:pt idx="92">
                    <c:v>2</c:v>
                  </c:pt>
                  <c:pt idx="93">
                    <c:v>2</c:v>
                  </c:pt>
                  <c:pt idx="94">
                    <c:v>2</c:v>
                  </c:pt>
                  <c:pt idx="95">
                    <c:v>2</c:v>
                  </c:pt>
                  <c:pt idx="96">
                    <c:v>2</c:v>
                  </c:pt>
                  <c:pt idx="97">
                    <c:v>2</c:v>
                  </c:pt>
                  <c:pt idx="98">
                    <c:v>2</c:v>
                  </c:pt>
                  <c:pt idx="99">
                    <c:v>2</c:v>
                  </c:pt>
                  <c:pt idx="100">
                    <c:v>2</c:v>
                  </c:pt>
                  <c:pt idx="101">
                    <c:v>2</c:v>
                  </c:pt>
                  <c:pt idx="102">
                    <c:v>2</c:v>
                  </c:pt>
                  <c:pt idx="103">
                    <c:v>2</c:v>
                  </c:pt>
                  <c:pt idx="104">
                    <c:v>2</c:v>
                  </c:pt>
                  <c:pt idx="105">
                    <c:v>2</c:v>
                  </c:pt>
                  <c:pt idx="106">
                    <c:v>2</c:v>
                  </c:pt>
                  <c:pt idx="107">
                    <c:v>2</c:v>
                  </c:pt>
                  <c:pt idx="108">
                    <c:v>2</c:v>
                  </c:pt>
                  <c:pt idx="109">
                    <c:v>2</c:v>
                  </c:pt>
                  <c:pt idx="110">
                    <c:v>2</c:v>
                  </c:pt>
                  <c:pt idx="111">
                    <c:v>2</c:v>
                  </c:pt>
                  <c:pt idx="112">
                    <c:v>2</c:v>
                  </c:pt>
                  <c:pt idx="113">
                    <c:v>2</c:v>
                  </c:pt>
                  <c:pt idx="114">
                    <c:v>2</c:v>
                  </c:pt>
                  <c:pt idx="115">
                    <c:v>2</c:v>
                  </c:pt>
                  <c:pt idx="116">
                    <c:v>2</c:v>
                  </c:pt>
                  <c:pt idx="117">
                    <c:v>2</c:v>
                  </c:pt>
                  <c:pt idx="118">
                    <c:v>2</c:v>
                  </c:pt>
                  <c:pt idx="119">
                    <c:v>2</c:v>
                  </c:pt>
                  <c:pt idx="120">
                    <c:v>2</c:v>
                  </c:pt>
                  <c:pt idx="121">
                    <c:v>2</c:v>
                  </c:pt>
                  <c:pt idx="122">
                    <c:v>2</c:v>
                  </c:pt>
                  <c:pt idx="123">
                    <c:v>2</c:v>
                  </c:pt>
                  <c:pt idx="124">
                    <c:v>2</c:v>
                  </c:pt>
                  <c:pt idx="125">
                    <c:v>2</c:v>
                  </c:pt>
                  <c:pt idx="126">
                    <c:v>2</c:v>
                  </c:pt>
                  <c:pt idx="127">
                    <c:v>2</c:v>
                  </c:pt>
                  <c:pt idx="128">
                    <c:v>2</c:v>
                  </c:pt>
                  <c:pt idx="129">
                    <c:v>2</c:v>
                  </c:pt>
                  <c:pt idx="130">
                    <c:v>2</c:v>
                  </c:pt>
                  <c:pt idx="131">
                    <c:v>2</c:v>
                  </c:pt>
                  <c:pt idx="132">
                    <c:v>2</c:v>
                  </c:pt>
                  <c:pt idx="133">
                    <c:v>2</c:v>
                  </c:pt>
                  <c:pt idx="134">
                    <c:v>2</c:v>
                  </c:pt>
                  <c:pt idx="135">
                    <c:v>2</c:v>
                  </c:pt>
                  <c:pt idx="136">
                    <c:v>2</c:v>
                  </c:pt>
                  <c:pt idx="137">
                    <c:v>2</c:v>
                  </c:pt>
                  <c:pt idx="138">
                    <c:v>2</c:v>
                  </c:pt>
                  <c:pt idx="139">
                    <c:v>2</c:v>
                  </c:pt>
                  <c:pt idx="140">
                    <c:v>3</c:v>
                  </c:pt>
                  <c:pt idx="141">
                    <c:v>3</c:v>
                  </c:pt>
                  <c:pt idx="142">
                    <c:v>3</c:v>
                  </c:pt>
                  <c:pt idx="143">
                    <c:v>3</c:v>
                  </c:pt>
                  <c:pt idx="144">
                    <c:v>3</c:v>
                  </c:pt>
                  <c:pt idx="145">
                    <c:v>3</c:v>
                  </c:pt>
                  <c:pt idx="146">
                    <c:v>3</c:v>
                  </c:pt>
                  <c:pt idx="147">
                    <c:v>3</c:v>
                  </c:pt>
                  <c:pt idx="148">
                    <c:v>3</c:v>
                  </c:pt>
                  <c:pt idx="149">
                    <c:v>3</c:v>
                  </c:pt>
                  <c:pt idx="150">
                    <c:v>3</c:v>
                  </c:pt>
                  <c:pt idx="151">
                    <c:v>3</c:v>
                  </c:pt>
                  <c:pt idx="152">
                    <c:v>3</c:v>
                  </c:pt>
                  <c:pt idx="153">
                    <c:v>3</c:v>
                  </c:pt>
                  <c:pt idx="154">
                    <c:v>3</c:v>
                  </c:pt>
                  <c:pt idx="155">
                    <c:v>3</c:v>
                  </c:pt>
                  <c:pt idx="156">
                    <c:v>3</c:v>
                  </c:pt>
                  <c:pt idx="157">
                    <c:v>3</c:v>
                  </c:pt>
                  <c:pt idx="158">
                    <c:v>3</c:v>
                  </c:pt>
                  <c:pt idx="159">
                    <c:v>3</c:v>
                  </c:pt>
                  <c:pt idx="160">
                    <c:v>3</c:v>
                  </c:pt>
                  <c:pt idx="161">
                    <c:v>3</c:v>
                  </c:pt>
                  <c:pt idx="162">
                    <c:v>3</c:v>
                  </c:pt>
                  <c:pt idx="163">
                    <c:v>3</c:v>
                  </c:pt>
                  <c:pt idx="164">
                    <c:v>3</c:v>
                  </c:pt>
                  <c:pt idx="165">
                    <c:v>3</c:v>
                  </c:pt>
                  <c:pt idx="166">
                    <c:v>3</c:v>
                  </c:pt>
                  <c:pt idx="167">
                    <c:v>3</c:v>
                  </c:pt>
                  <c:pt idx="168">
                    <c:v>3</c:v>
                  </c:pt>
                  <c:pt idx="169">
                    <c:v>3</c:v>
                  </c:pt>
                  <c:pt idx="170">
                    <c:v>3</c:v>
                  </c:pt>
                  <c:pt idx="171">
                    <c:v>3</c:v>
                  </c:pt>
                  <c:pt idx="172">
                    <c:v>3</c:v>
                  </c:pt>
                  <c:pt idx="173">
                    <c:v>3</c:v>
                  </c:pt>
                  <c:pt idx="174">
                    <c:v>3</c:v>
                  </c:pt>
                  <c:pt idx="175">
                    <c:v>3</c:v>
                  </c:pt>
                  <c:pt idx="176">
                    <c:v>3</c:v>
                  </c:pt>
                  <c:pt idx="177">
                    <c:v>3</c:v>
                  </c:pt>
                  <c:pt idx="178">
                    <c:v>3</c:v>
                  </c:pt>
                  <c:pt idx="179">
                    <c:v>3</c:v>
                  </c:pt>
                  <c:pt idx="180">
                    <c:v>3</c:v>
                  </c:pt>
                  <c:pt idx="181">
                    <c:v>3</c:v>
                  </c:pt>
                  <c:pt idx="182">
                    <c:v>3</c:v>
                  </c:pt>
                  <c:pt idx="183">
                    <c:v>3</c:v>
                  </c:pt>
                  <c:pt idx="184">
                    <c:v>3</c:v>
                  </c:pt>
                  <c:pt idx="185">
                    <c:v>3</c:v>
                  </c:pt>
                  <c:pt idx="186">
                    <c:v>3</c:v>
                  </c:pt>
                  <c:pt idx="187">
                    <c:v>3</c:v>
                  </c:pt>
                  <c:pt idx="188">
                    <c:v>3</c:v>
                  </c:pt>
                  <c:pt idx="189">
                    <c:v>3</c:v>
                  </c:pt>
                  <c:pt idx="190">
                    <c:v>3</c:v>
                  </c:pt>
                  <c:pt idx="191">
                    <c:v>3</c:v>
                  </c:pt>
                  <c:pt idx="192">
                    <c:v>3</c:v>
                  </c:pt>
                  <c:pt idx="193">
                    <c:v>3</c:v>
                  </c:pt>
                  <c:pt idx="194">
                    <c:v>3</c:v>
                  </c:pt>
                  <c:pt idx="195">
                    <c:v>3</c:v>
                  </c:pt>
                  <c:pt idx="196">
                    <c:v>3</c:v>
                  </c:pt>
                  <c:pt idx="197">
                    <c:v>3</c:v>
                  </c:pt>
                  <c:pt idx="198">
                    <c:v>3</c:v>
                  </c:pt>
                  <c:pt idx="199">
                    <c:v>3</c:v>
                  </c:pt>
                  <c:pt idx="200">
                    <c:v>3</c:v>
                  </c:pt>
                  <c:pt idx="201">
                    <c:v>3</c:v>
                  </c:pt>
                  <c:pt idx="202">
                    <c:v>3</c:v>
                  </c:pt>
                  <c:pt idx="203">
                    <c:v>3</c:v>
                  </c:pt>
                  <c:pt idx="204">
                    <c:v>3</c:v>
                  </c:pt>
                  <c:pt idx="205">
                    <c:v>3</c:v>
                  </c:pt>
                  <c:pt idx="206">
                    <c:v>3</c:v>
                  </c:pt>
                  <c:pt idx="207">
                    <c:v>3</c:v>
                  </c:pt>
                  <c:pt idx="208">
                    <c:v>3</c:v>
                  </c:pt>
                  <c:pt idx="209">
                    <c:v>3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3D28-48FB-8FCE-666636A56A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28996240"/>
        <c:axId val="828999848"/>
      </c:scatterChart>
      <c:valAx>
        <c:axId val="82899624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828999848"/>
        <c:crosses val="autoZero"/>
        <c:crossBetween val="midCat"/>
      </c:valAx>
      <c:valAx>
        <c:axId val="8289998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82899624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pn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4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761999</xdr:colOff>
      <xdr:row>2</xdr:row>
      <xdr:rowOff>14287</xdr:rowOff>
    </xdr:from>
    <xdr:to>
      <xdr:col>22</xdr:col>
      <xdr:colOff>347869</xdr:colOff>
      <xdr:row>41</xdr:row>
      <xdr:rowOff>16565</xdr:rowOff>
    </xdr:to>
    <xdr:graphicFrame macro="">
      <xdr:nvGraphicFramePr>
        <xdr:cNvPr id="3" name="Diagramm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3</xdr:row>
          <xdr:rowOff>0</xdr:rowOff>
        </xdr:from>
        <xdr:to>
          <xdr:col>7</xdr:col>
          <xdr:colOff>0</xdr:colOff>
          <xdr:row>5</xdr:row>
          <xdr:rowOff>0</xdr:rowOff>
        </xdr:to>
        <xdr:sp macro="" textlink="">
          <xdr:nvSpPr>
            <xdr:cNvPr id="3425" name="LearnButton" hidden="1">
              <a:extLst>
                <a:ext uri="{63B3BB69-23CF-44E3-9099-C40C66FF867C}">
                  <a14:compatExt spid="_x0000_s3425"/>
                </a:ext>
                <a:ext uri="{FF2B5EF4-FFF2-40B4-BE49-F238E27FC236}">
                  <a16:creationId xmlns:a16="http://schemas.microsoft.com/office/drawing/2014/main" id="{00000000-0008-0000-0100-000061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6</xdr:row>
          <xdr:rowOff>0</xdr:rowOff>
        </xdr:from>
        <xdr:to>
          <xdr:col>7</xdr:col>
          <xdr:colOff>0</xdr:colOff>
          <xdr:row>8</xdr:row>
          <xdr:rowOff>0</xdr:rowOff>
        </xdr:to>
        <xdr:sp macro="" textlink="">
          <xdr:nvSpPr>
            <xdr:cNvPr id="3426" name="ResetButton" hidden="1">
              <a:extLst>
                <a:ext uri="{63B3BB69-23CF-44E3-9099-C40C66FF867C}">
                  <a14:compatExt spid="_x0000_s3426"/>
                </a:ext>
                <a:ext uri="{FF2B5EF4-FFF2-40B4-BE49-F238E27FC236}">
                  <a16:creationId xmlns:a16="http://schemas.microsoft.com/office/drawing/2014/main" id="{00000000-0008-0000-0100-000062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</xdr:row>
          <xdr:rowOff>180975</xdr:rowOff>
        </xdr:from>
        <xdr:to>
          <xdr:col>9</xdr:col>
          <xdr:colOff>0</xdr:colOff>
          <xdr:row>5</xdr:row>
          <xdr:rowOff>0</xdr:rowOff>
        </xdr:to>
        <xdr:sp macro="" textlink="">
          <xdr:nvSpPr>
            <xdr:cNvPr id="3427" name="RandomBiasButton" hidden="1">
              <a:extLst>
                <a:ext uri="{63B3BB69-23CF-44E3-9099-C40C66FF867C}">
                  <a14:compatExt spid="_x0000_s3427"/>
                </a:ext>
                <a:ext uri="{FF2B5EF4-FFF2-40B4-BE49-F238E27FC236}">
                  <a16:creationId xmlns:a16="http://schemas.microsoft.com/office/drawing/2014/main" id="{00000000-0008-0000-0100-000063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104775</xdr:colOff>
          <xdr:row>6</xdr:row>
          <xdr:rowOff>0</xdr:rowOff>
        </xdr:from>
        <xdr:to>
          <xdr:col>9</xdr:col>
          <xdr:colOff>0</xdr:colOff>
          <xdr:row>8</xdr:row>
          <xdr:rowOff>0</xdr:rowOff>
        </xdr:to>
        <xdr:sp macro="" textlink="">
          <xdr:nvSpPr>
            <xdr:cNvPr id="3428" name="RandomWeightsButton" hidden="1">
              <a:extLst>
                <a:ext uri="{63B3BB69-23CF-44E3-9099-C40C66FF867C}">
                  <a14:compatExt spid="_x0000_s3428"/>
                </a:ext>
                <a:ext uri="{FF2B5EF4-FFF2-40B4-BE49-F238E27FC236}">
                  <a16:creationId xmlns:a16="http://schemas.microsoft.com/office/drawing/2014/main" id="{00000000-0008-0000-0100-000064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1</xdr:col>
      <xdr:colOff>0</xdr:colOff>
      <xdr:row>10</xdr:row>
      <xdr:rowOff>111672</xdr:rowOff>
    </xdr:from>
    <xdr:to>
      <xdr:col>2</xdr:col>
      <xdr:colOff>311510</xdr:colOff>
      <xdr:row>22</xdr:row>
      <xdr:rowOff>0</xdr:rowOff>
    </xdr:to>
    <xdr:pic>
      <xdr:nvPicPr>
        <xdr:cNvPr id="3" name="Grafik 2">
          <a:extLst>
            <a:ext uri="{FF2B5EF4-FFF2-40B4-BE49-F238E27FC236}">
              <a16:creationId xmlns:a16="http://schemas.microsoft.com/office/drawing/2014/main" id="{4DB4378D-92A9-45CB-B55C-E4E1ED72B37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62000" y="2016672"/>
          <a:ext cx="1198320" cy="2174328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20</xdr:col>
      <xdr:colOff>180975</xdr:colOff>
      <xdr:row>11</xdr:row>
      <xdr:rowOff>114300</xdr:rowOff>
    </xdr:from>
    <xdr:to>
      <xdr:col>24</xdr:col>
      <xdr:colOff>641537</xdr:colOff>
      <xdr:row>15</xdr:row>
      <xdr:rowOff>57150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944975" y="2209800"/>
          <a:ext cx="3508562" cy="7048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2</xdr:col>
      <xdr:colOff>2006</xdr:colOff>
      <xdr:row>0</xdr:row>
      <xdr:rowOff>0</xdr:rowOff>
    </xdr:from>
    <xdr:to>
      <xdr:col>5</xdr:col>
      <xdr:colOff>0</xdr:colOff>
      <xdr:row>1</xdr:row>
      <xdr:rowOff>85725</xdr:rowOff>
    </xdr:to>
    <xdr:sp macro="" textlink="">
      <xdr:nvSpPr>
        <xdr:cNvPr id="3" name="Rechteck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>
          <a:off x="1526006" y="0"/>
          <a:ext cx="2283994" cy="276225"/>
        </a:xfrm>
        <a:prstGeom prst="rect">
          <a:avLst/>
        </a:prstGeom>
        <a:solidFill>
          <a:schemeClr val="accent4">
            <a:lumMod val="40000"/>
            <a:lumOff val="6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l"/>
          <a:r>
            <a:rPr lang="de-DE" sz="1100">
              <a:solidFill>
                <a:sysClr val="windowText" lastClr="000000"/>
              </a:solidFill>
            </a:rPr>
            <a:t>damit inputs zwischen 0 und 1 liegen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6569C6-D7D5-47E7-863B-ADE5DE4C7B6A}">
  <sheetPr codeName="Tabelle1"/>
  <dimension ref="A1:P211"/>
  <sheetViews>
    <sheetView zoomScale="115" zoomScaleNormal="115" workbookViewId="0">
      <selection activeCell="I14" sqref="I14"/>
    </sheetView>
  </sheetViews>
  <sheetFormatPr baseColWidth="10" defaultRowHeight="15" x14ac:dyDescent="0.25"/>
  <cols>
    <col min="1" max="1" width="11.5703125" bestFit="1" customWidth="1"/>
    <col min="2" max="7" width="11.140625" bestFit="1" customWidth="1"/>
    <col min="8" max="8" width="11.140625" style="4" bestFit="1" customWidth="1"/>
    <col min="10" max="10" width="4.85546875" bestFit="1" customWidth="1"/>
    <col min="11" max="11" width="10" bestFit="1" customWidth="1"/>
    <col min="12" max="12" width="12.42578125" bestFit="1" customWidth="1"/>
    <col min="13" max="13" width="13.42578125" bestFit="1" customWidth="1"/>
    <col min="14" max="14" width="12.85546875" bestFit="1" customWidth="1"/>
    <col min="15" max="15" width="15.7109375" bestFit="1" customWidth="1"/>
    <col min="16" max="16" width="18.5703125" bestFit="1" customWidth="1"/>
  </cols>
  <sheetData>
    <row r="1" spans="1:16" x14ac:dyDescent="0.25">
      <c r="A1" s="1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11" t="s">
        <v>7</v>
      </c>
      <c r="J1" s="10" t="s">
        <v>45</v>
      </c>
      <c r="K1" s="10" t="s">
        <v>46</v>
      </c>
      <c r="L1" s="10" t="s">
        <v>47</v>
      </c>
      <c r="M1" s="10" t="s">
        <v>48</v>
      </c>
      <c r="N1" s="10" t="s">
        <v>49</v>
      </c>
      <c r="O1" s="10" t="s">
        <v>50</v>
      </c>
      <c r="P1" s="10" t="s">
        <v>51</v>
      </c>
    </row>
    <row r="2" spans="1:16" x14ac:dyDescent="0.25">
      <c r="A2" s="3">
        <v>15.26</v>
      </c>
      <c r="B2" s="3">
        <v>14.84</v>
      </c>
      <c r="C2" s="3">
        <v>0.871</v>
      </c>
      <c r="D2" s="3">
        <v>5.7629999999999999</v>
      </c>
      <c r="E2" s="3">
        <v>3.3119999999999998</v>
      </c>
      <c r="F2" s="3">
        <v>2.2210000000000001</v>
      </c>
      <c r="G2" s="3">
        <v>5.22</v>
      </c>
      <c r="H2" s="4">
        <v>1</v>
      </c>
    </row>
    <row r="3" spans="1:16" x14ac:dyDescent="0.25">
      <c r="A3" s="3">
        <v>14.88</v>
      </c>
      <c r="B3" s="3">
        <v>14.57</v>
      </c>
      <c r="C3" s="3">
        <v>0.88109999999999999</v>
      </c>
      <c r="D3" s="3">
        <v>5.5540000000000003</v>
      </c>
      <c r="E3" s="3">
        <v>3.3330000000000002</v>
      </c>
      <c r="F3" s="3">
        <v>1.018</v>
      </c>
      <c r="G3" s="3">
        <v>4.9560000000000004</v>
      </c>
      <c r="H3" s="4">
        <v>1</v>
      </c>
    </row>
    <row r="4" spans="1:16" x14ac:dyDescent="0.25">
      <c r="A4" s="3">
        <v>14.29</v>
      </c>
      <c r="B4" s="3">
        <v>14.09</v>
      </c>
      <c r="C4" s="3">
        <v>0.90500000000000003</v>
      </c>
      <c r="D4" s="3">
        <v>5.2910000000000004</v>
      </c>
      <c r="E4" s="3">
        <v>3.3370000000000002</v>
      </c>
      <c r="F4" s="3">
        <v>2.6989999999999998</v>
      </c>
      <c r="G4" s="3">
        <v>4.8250000000000002</v>
      </c>
      <c r="H4" s="4">
        <v>1</v>
      </c>
    </row>
    <row r="5" spans="1:16" x14ac:dyDescent="0.25">
      <c r="A5" s="3">
        <v>13.84</v>
      </c>
      <c r="B5" s="3">
        <v>13.94</v>
      </c>
      <c r="C5" s="3">
        <v>0.89549999999999996</v>
      </c>
      <c r="D5" s="3">
        <v>5.3239999999999998</v>
      </c>
      <c r="E5" s="3">
        <v>3.379</v>
      </c>
      <c r="F5" s="3">
        <v>2.2589999999999999</v>
      </c>
      <c r="G5" s="3">
        <v>4.8049999999999997</v>
      </c>
      <c r="H5" s="4">
        <v>1</v>
      </c>
    </row>
    <row r="6" spans="1:16" x14ac:dyDescent="0.25">
      <c r="A6" s="3">
        <v>16.14</v>
      </c>
      <c r="B6" s="3">
        <v>14.99</v>
      </c>
      <c r="C6" s="3">
        <v>0.90339999999999998</v>
      </c>
      <c r="D6" s="3">
        <v>5.6580000000000004</v>
      </c>
      <c r="E6" s="3">
        <v>3.5619999999999998</v>
      </c>
      <c r="F6" s="3">
        <v>1.355</v>
      </c>
      <c r="G6" s="3">
        <v>5.1749999999999998</v>
      </c>
      <c r="H6" s="4">
        <v>1</v>
      </c>
    </row>
    <row r="7" spans="1:16" x14ac:dyDescent="0.25">
      <c r="A7" s="3">
        <v>14.38</v>
      </c>
      <c r="B7" s="3">
        <v>14.21</v>
      </c>
      <c r="C7" s="3">
        <v>0.89510000000000001</v>
      </c>
      <c r="D7" s="3">
        <v>5.3860000000000001</v>
      </c>
      <c r="E7" s="3">
        <v>3.3119999999999998</v>
      </c>
      <c r="F7" s="3">
        <v>2.4620000000000002</v>
      </c>
      <c r="G7" s="3">
        <v>4.9560000000000004</v>
      </c>
      <c r="H7" s="4">
        <v>1</v>
      </c>
    </row>
    <row r="8" spans="1:16" x14ac:dyDescent="0.25">
      <c r="A8" s="3">
        <v>14.69</v>
      </c>
      <c r="B8" s="3">
        <v>14.49</v>
      </c>
      <c r="C8" s="3">
        <v>0.87990000000000002</v>
      </c>
      <c r="D8" s="3">
        <v>5.5629999999999997</v>
      </c>
      <c r="E8" s="3">
        <v>3.2589999999999999</v>
      </c>
      <c r="F8" s="3">
        <v>3.5859999999999999</v>
      </c>
      <c r="G8" s="3">
        <v>5.2190000000000003</v>
      </c>
      <c r="H8" s="4">
        <v>1</v>
      </c>
    </row>
    <row r="9" spans="1:16" x14ac:dyDescent="0.25">
      <c r="A9" s="3">
        <v>14.11</v>
      </c>
      <c r="B9" s="3">
        <v>14.1</v>
      </c>
      <c r="C9" s="3">
        <v>0.8911</v>
      </c>
      <c r="D9" s="3">
        <v>5.42</v>
      </c>
      <c r="E9" s="3">
        <v>3.302</v>
      </c>
      <c r="F9" s="3">
        <v>2.7</v>
      </c>
      <c r="G9" s="3">
        <v>5</v>
      </c>
      <c r="H9" s="4">
        <v>1</v>
      </c>
    </row>
    <row r="10" spans="1:16" x14ac:dyDescent="0.25">
      <c r="A10" s="3">
        <v>16.63</v>
      </c>
      <c r="B10" s="3">
        <v>15.46</v>
      </c>
      <c r="C10" s="3">
        <v>0.87470000000000003</v>
      </c>
      <c r="D10" s="3">
        <v>6.0529999999999999</v>
      </c>
      <c r="E10" s="3">
        <v>3.4649999999999999</v>
      </c>
      <c r="F10" s="3">
        <v>2.04</v>
      </c>
      <c r="G10" s="3">
        <v>5.8769999999999998</v>
      </c>
      <c r="H10" s="4">
        <v>1</v>
      </c>
    </row>
    <row r="11" spans="1:16" x14ac:dyDescent="0.25">
      <c r="A11" s="3">
        <v>16.440000000000001</v>
      </c>
      <c r="B11" s="3">
        <v>15.25</v>
      </c>
      <c r="C11" s="3">
        <v>0.88800000000000001</v>
      </c>
      <c r="D11" s="3">
        <v>5.8840000000000003</v>
      </c>
      <c r="E11" s="3">
        <v>3.5049999999999999</v>
      </c>
      <c r="F11" s="3">
        <v>1.9690000000000001</v>
      </c>
      <c r="G11" s="3">
        <v>5.5330000000000004</v>
      </c>
      <c r="H11" s="4">
        <v>1</v>
      </c>
    </row>
    <row r="12" spans="1:16" x14ac:dyDescent="0.25">
      <c r="A12" s="3">
        <v>15.26</v>
      </c>
      <c r="B12" s="3">
        <v>14.85</v>
      </c>
      <c r="C12" s="3">
        <v>0.86960000000000004</v>
      </c>
      <c r="D12" s="3">
        <v>5.7140000000000004</v>
      </c>
      <c r="E12" s="3">
        <v>3.242</v>
      </c>
      <c r="F12" s="3">
        <v>4.5430000000000001</v>
      </c>
      <c r="G12" s="3">
        <v>5.3140000000000001</v>
      </c>
      <c r="H12" s="4">
        <v>1</v>
      </c>
    </row>
    <row r="13" spans="1:16" x14ac:dyDescent="0.25">
      <c r="A13" s="3">
        <v>14.03</v>
      </c>
      <c r="B13" s="3">
        <v>14.16</v>
      </c>
      <c r="C13" s="3">
        <v>0.87960000000000005</v>
      </c>
      <c r="D13" s="3">
        <v>5.4379999999999997</v>
      </c>
      <c r="E13" s="3">
        <v>3.2010000000000001</v>
      </c>
      <c r="F13" s="3">
        <v>1.7170000000000001</v>
      </c>
      <c r="G13" s="3">
        <v>5.0010000000000003</v>
      </c>
      <c r="H13" s="4">
        <v>1</v>
      </c>
    </row>
    <row r="14" spans="1:16" x14ac:dyDescent="0.25">
      <c r="A14" s="3">
        <v>13.89</v>
      </c>
      <c r="B14" s="3">
        <v>14.02</v>
      </c>
      <c r="C14" s="3">
        <v>0.88800000000000001</v>
      </c>
      <c r="D14" s="3">
        <v>5.4390000000000001</v>
      </c>
      <c r="E14" s="3">
        <v>3.1989999999999998</v>
      </c>
      <c r="F14" s="3">
        <v>3.9860000000000002</v>
      </c>
      <c r="G14" s="3">
        <v>4.7380000000000004</v>
      </c>
      <c r="H14" s="4">
        <v>1</v>
      </c>
    </row>
    <row r="15" spans="1:16" x14ac:dyDescent="0.25">
      <c r="A15" s="3">
        <v>13.78</v>
      </c>
      <c r="B15" s="3">
        <v>14.06</v>
      </c>
      <c r="C15" s="3">
        <v>0.87590000000000001</v>
      </c>
      <c r="D15" s="3">
        <v>5.4790000000000001</v>
      </c>
      <c r="E15" s="3">
        <v>3.1560000000000001</v>
      </c>
      <c r="F15" s="3">
        <v>3.1360000000000001</v>
      </c>
      <c r="G15" s="3">
        <v>4.8719999999999999</v>
      </c>
      <c r="H15" s="4">
        <v>1</v>
      </c>
    </row>
    <row r="16" spans="1:16" x14ac:dyDescent="0.25">
      <c r="A16" s="3">
        <v>13.74</v>
      </c>
      <c r="B16" s="3">
        <v>14.05</v>
      </c>
      <c r="C16" s="3">
        <v>0.87439999999999996</v>
      </c>
      <c r="D16" s="3">
        <v>5.4820000000000002</v>
      </c>
      <c r="E16" s="3">
        <v>3.1139999999999999</v>
      </c>
      <c r="F16" s="3">
        <v>2.9319999999999999</v>
      </c>
      <c r="G16" s="3">
        <v>4.8250000000000002</v>
      </c>
      <c r="H16" s="4">
        <v>1</v>
      </c>
    </row>
    <row r="17" spans="1:8" x14ac:dyDescent="0.25">
      <c r="A17" s="3">
        <v>14.59</v>
      </c>
      <c r="B17" s="3">
        <v>14.28</v>
      </c>
      <c r="C17" s="3">
        <v>0.89929999999999999</v>
      </c>
      <c r="D17" s="3">
        <v>5.351</v>
      </c>
      <c r="E17" s="3">
        <v>3.3330000000000002</v>
      </c>
      <c r="F17" s="3">
        <v>4.1849999999999996</v>
      </c>
      <c r="G17" s="3">
        <v>4.7809999999999997</v>
      </c>
      <c r="H17" s="4">
        <v>1</v>
      </c>
    </row>
    <row r="18" spans="1:8" x14ac:dyDescent="0.25">
      <c r="A18" s="3">
        <v>13.99</v>
      </c>
      <c r="B18" s="3">
        <v>13.83</v>
      </c>
      <c r="C18" s="3">
        <v>0.91830000000000001</v>
      </c>
      <c r="D18" s="3">
        <v>5.1189999999999998</v>
      </c>
      <c r="E18" s="3">
        <v>3.383</v>
      </c>
      <c r="F18" s="3">
        <v>5.234</v>
      </c>
      <c r="G18" s="3">
        <v>4.7809999999999997</v>
      </c>
      <c r="H18" s="4">
        <v>1</v>
      </c>
    </row>
    <row r="19" spans="1:8" x14ac:dyDescent="0.25">
      <c r="A19" s="3">
        <v>15.69</v>
      </c>
      <c r="B19" s="3">
        <v>14.75</v>
      </c>
      <c r="C19" s="3">
        <v>0.90580000000000005</v>
      </c>
      <c r="D19" s="3">
        <v>5.5270000000000001</v>
      </c>
      <c r="E19" s="3">
        <v>3.5139999999999998</v>
      </c>
      <c r="F19" s="3">
        <v>1.599</v>
      </c>
      <c r="G19" s="3">
        <v>5.0460000000000003</v>
      </c>
      <c r="H19" s="4">
        <v>1</v>
      </c>
    </row>
    <row r="20" spans="1:8" x14ac:dyDescent="0.25">
      <c r="A20" s="3">
        <v>14.7</v>
      </c>
      <c r="B20" s="3">
        <v>14.21</v>
      </c>
      <c r="C20" s="3">
        <v>0.9153</v>
      </c>
      <c r="D20" s="3">
        <v>5.2050000000000001</v>
      </c>
      <c r="E20" s="3">
        <v>3.4660000000000002</v>
      </c>
      <c r="F20" s="3">
        <v>1.7669999999999999</v>
      </c>
      <c r="G20" s="3">
        <v>4.649</v>
      </c>
      <c r="H20" s="4">
        <v>1</v>
      </c>
    </row>
    <row r="21" spans="1:8" x14ac:dyDescent="0.25">
      <c r="A21" s="3">
        <v>12.72</v>
      </c>
      <c r="B21" s="3">
        <v>13.57</v>
      </c>
      <c r="C21" s="3">
        <v>0.86860000000000004</v>
      </c>
      <c r="D21" s="3">
        <v>5.226</v>
      </c>
      <c r="E21" s="3">
        <v>3.0489999999999999</v>
      </c>
      <c r="F21" s="3">
        <v>4.1020000000000003</v>
      </c>
      <c r="G21" s="3">
        <v>4.9139999999999997</v>
      </c>
      <c r="H21" s="4">
        <v>1</v>
      </c>
    </row>
    <row r="22" spans="1:8" x14ac:dyDescent="0.25">
      <c r="A22" s="3">
        <v>14.16</v>
      </c>
      <c r="B22" s="3">
        <v>14.4</v>
      </c>
      <c r="C22" s="3">
        <v>0.85840000000000005</v>
      </c>
      <c r="D22" s="3">
        <v>5.6580000000000004</v>
      </c>
      <c r="E22" s="3">
        <v>3.129</v>
      </c>
      <c r="F22" s="3">
        <v>3.0720000000000001</v>
      </c>
      <c r="G22" s="3">
        <v>5.1760000000000002</v>
      </c>
      <c r="H22" s="4">
        <v>1</v>
      </c>
    </row>
    <row r="23" spans="1:8" x14ac:dyDescent="0.25">
      <c r="A23" s="3">
        <v>14.11</v>
      </c>
      <c r="B23" s="3">
        <v>14.26</v>
      </c>
      <c r="C23" s="3">
        <v>0.87219999999999998</v>
      </c>
      <c r="D23" s="3">
        <v>5.52</v>
      </c>
      <c r="E23" s="3">
        <v>3.1680000000000001</v>
      </c>
      <c r="F23" s="3">
        <v>2.6880000000000002</v>
      </c>
      <c r="G23" s="3">
        <v>5.2190000000000003</v>
      </c>
      <c r="H23" s="4">
        <v>1</v>
      </c>
    </row>
    <row r="24" spans="1:8" x14ac:dyDescent="0.25">
      <c r="A24" s="3">
        <v>15.88</v>
      </c>
      <c r="B24" s="3">
        <v>14.9</v>
      </c>
      <c r="C24" s="3">
        <v>0.89880000000000004</v>
      </c>
      <c r="D24" s="3">
        <v>5.6180000000000003</v>
      </c>
      <c r="E24" s="3">
        <v>3.5070000000000001</v>
      </c>
      <c r="F24" s="3">
        <v>0.7651</v>
      </c>
      <c r="G24" s="3">
        <v>5.0910000000000002</v>
      </c>
      <c r="H24" s="4">
        <v>1</v>
      </c>
    </row>
    <row r="25" spans="1:8" x14ac:dyDescent="0.25">
      <c r="A25" s="3">
        <v>12.08</v>
      </c>
      <c r="B25" s="3">
        <v>13.23</v>
      </c>
      <c r="C25" s="3">
        <v>0.86639999999999995</v>
      </c>
      <c r="D25" s="3">
        <v>5.0990000000000002</v>
      </c>
      <c r="E25" s="3">
        <v>2.9359999999999999</v>
      </c>
      <c r="F25" s="3">
        <v>1.415</v>
      </c>
      <c r="G25" s="3">
        <v>4.9610000000000003</v>
      </c>
      <c r="H25" s="4">
        <v>1</v>
      </c>
    </row>
    <row r="26" spans="1:8" x14ac:dyDescent="0.25">
      <c r="A26" s="3">
        <v>15.01</v>
      </c>
      <c r="B26" s="3">
        <v>14.76</v>
      </c>
      <c r="C26" s="3">
        <v>0.86570000000000003</v>
      </c>
      <c r="D26" s="3">
        <v>5.7889999999999997</v>
      </c>
      <c r="E26" s="3">
        <v>3.2450000000000001</v>
      </c>
      <c r="F26" s="3">
        <v>1.7909999999999999</v>
      </c>
      <c r="G26" s="3">
        <v>5.0010000000000003</v>
      </c>
      <c r="H26" s="4">
        <v>1</v>
      </c>
    </row>
    <row r="27" spans="1:8" x14ac:dyDescent="0.25">
      <c r="A27" s="3">
        <v>16.190000000000001</v>
      </c>
      <c r="B27" s="3">
        <v>15.16</v>
      </c>
      <c r="C27" s="3">
        <v>0.88490000000000002</v>
      </c>
      <c r="D27" s="3">
        <v>5.8330000000000002</v>
      </c>
      <c r="E27" s="3">
        <v>3.4209999999999998</v>
      </c>
      <c r="F27" s="3">
        <v>0.90300000000000002</v>
      </c>
      <c r="G27" s="3">
        <v>5.3070000000000004</v>
      </c>
      <c r="H27" s="4">
        <v>1</v>
      </c>
    </row>
    <row r="28" spans="1:8" x14ac:dyDescent="0.25">
      <c r="A28" s="3">
        <v>13.02</v>
      </c>
      <c r="B28" s="3">
        <v>13.76</v>
      </c>
      <c r="C28" s="3">
        <v>0.86409999999999998</v>
      </c>
      <c r="D28" s="3">
        <v>5.3949999999999996</v>
      </c>
      <c r="E28" s="3">
        <v>3.0259999999999998</v>
      </c>
      <c r="F28" s="3">
        <v>3.3730000000000002</v>
      </c>
      <c r="G28" s="3">
        <v>4.8250000000000002</v>
      </c>
      <c r="H28" s="4">
        <v>1</v>
      </c>
    </row>
    <row r="29" spans="1:8" x14ac:dyDescent="0.25">
      <c r="A29" s="3">
        <v>12.74</v>
      </c>
      <c r="B29" s="3">
        <v>13.67</v>
      </c>
      <c r="C29" s="3">
        <v>0.85640000000000005</v>
      </c>
      <c r="D29" s="3">
        <v>5.3949999999999996</v>
      </c>
      <c r="E29" s="3">
        <v>2.956</v>
      </c>
      <c r="F29" s="3">
        <v>2.504</v>
      </c>
      <c r="G29" s="3">
        <v>4.8689999999999998</v>
      </c>
      <c r="H29" s="4">
        <v>1</v>
      </c>
    </row>
    <row r="30" spans="1:8" x14ac:dyDescent="0.25">
      <c r="A30" s="3">
        <v>14.11</v>
      </c>
      <c r="B30" s="3">
        <v>14.18</v>
      </c>
      <c r="C30" s="3">
        <v>0.88200000000000001</v>
      </c>
      <c r="D30" s="3">
        <v>5.5410000000000004</v>
      </c>
      <c r="E30" s="3">
        <v>3.2210000000000001</v>
      </c>
      <c r="F30" s="3">
        <v>2.754</v>
      </c>
      <c r="G30" s="3">
        <v>5.0380000000000003</v>
      </c>
      <c r="H30" s="4">
        <v>1</v>
      </c>
    </row>
    <row r="31" spans="1:8" x14ac:dyDescent="0.25">
      <c r="A31" s="3">
        <v>13.45</v>
      </c>
      <c r="B31" s="3">
        <v>14.02</v>
      </c>
      <c r="C31" s="3">
        <v>0.86040000000000005</v>
      </c>
      <c r="D31" s="3">
        <v>5.516</v>
      </c>
      <c r="E31" s="3">
        <v>3.0649999999999999</v>
      </c>
      <c r="F31" s="3">
        <v>3.5310000000000001</v>
      </c>
      <c r="G31" s="3">
        <v>5.0970000000000004</v>
      </c>
      <c r="H31" s="4">
        <v>1</v>
      </c>
    </row>
    <row r="32" spans="1:8" x14ac:dyDescent="0.25">
      <c r="A32" s="3">
        <v>13.16</v>
      </c>
      <c r="B32" s="3">
        <v>13.82</v>
      </c>
      <c r="C32" s="3">
        <v>0.86619999999999997</v>
      </c>
      <c r="D32" s="3">
        <v>5.4539999999999997</v>
      </c>
      <c r="E32" s="3">
        <v>2.9750000000000001</v>
      </c>
      <c r="F32" s="3">
        <v>0.85509999999999997</v>
      </c>
      <c r="G32" s="3">
        <v>5.056</v>
      </c>
      <c r="H32" s="4">
        <v>1</v>
      </c>
    </row>
    <row r="33" spans="1:8" x14ac:dyDescent="0.25">
      <c r="A33" s="3">
        <v>15.49</v>
      </c>
      <c r="B33" s="3">
        <v>14.94</v>
      </c>
      <c r="C33" s="3">
        <v>0.87239999999999995</v>
      </c>
      <c r="D33" s="3">
        <v>5.7569999999999997</v>
      </c>
      <c r="E33" s="3">
        <v>3.371</v>
      </c>
      <c r="F33" s="3">
        <v>3.4119999999999999</v>
      </c>
      <c r="G33" s="3">
        <v>5.2279999999999998</v>
      </c>
      <c r="H33" s="4">
        <v>1</v>
      </c>
    </row>
    <row r="34" spans="1:8" x14ac:dyDescent="0.25">
      <c r="A34" s="3">
        <v>14.09</v>
      </c>
      <c r="B34" s="3">
        <v>14.41</v>
      </c>
      <c r="C34" s="3">
        <v>0.85289999999999999</v>
      </c>
      <c r="D34" s="3">
        <v>5.7169999999999996</v>
      </c>
      <c r="E34" s="3">
        <v>3.1859999999999999</v>
      </c>
      <c r="F34" s="3">
        <v>3.92</v>
      </c>
      <c r="G34" s="3">
        <v>5.2990000000000004</v>
      </c>
      <c r="H34" s="4">
        <v>1</v>
      </c>
    </row>
    <row r="35" spans="1:8" x14ac:dyDescent="0.25">
      <c r="A35" s="3">
        <v>13.94</v>
      </c>
      <c r="B35" s="3">
        <v>14.17</v>
      </c>
      <c r="C35" s="3">
        <v>0.87280000000000002</v>
      </c>
      <c r="D35" s="3">
        <v>5.585</v>
      </c>
      <c r="E35" s="3">
        <v>3.15</v>
      </c>
      <c r="F35" s="3">
        <v>2.1240000000000001</v>
      </c>
      <c r="G35" s="3">
        <v>5.0119999999999996</v>
      </c>
      <c r="H35" s="4">
        <v>1</v>
      </c>
    </row>
    <row r="36" spans="1:8" x14ac:dyDescent="0.25">
      <c r="A36" s="3">
        <v>15.05</v>
      </c>
      <c r="B36" s="3">
        <v>14.68</v>
      </c>
      <c r="C36" s="3">
        <v>0.87790000000000001</v>
      </c>
      <c r="D36" s="3">
        <v>5.7119999999999997</v>
      </c>
      <c r="E36" s="3">
        <v>3.3279999999999998</v>
      </c>
      <c r="F36" s="3">
        <v>2.129</v>
      </c>
      <c r="G36" s="3">
        <v>5.36</v>
      </c>
      <c r="H36" s="4">
        <v>1</v>
      </c>
    </row>
    <row r="37" spans="1:8" x14ac:dyDescent="0.25">
      <c r="A37" s="3">
        <v>16.12</v>
      </c>
      <c r="B37" s="3">
        <v>15</v>
      </c>
      <c r="C37" s="3">
        <v>0.9</v>
      </c>
      <c r="D37" s="3">
        <v>5.7089999999999996</v>
      </c>
      <c r="E37" s="3">
        <v>3.4849999999999999</v>
      </c>
      <c r="F37" s="3">
        <v>2.27</v>
      </c>
      <c r="G37" s="3">
        <v>5.4429999999999996</v>
      </c>
      <c r="H37" s="4">
        <v>1</v>
      </c>
    </row>
    <row r="38" spans="1:8" x14ac:dyDescent="0.25">
      <c r="A38" s="3">
        <v>16.2</v>
      </c>
      <c r="B38" s="3">
        <v>15.27</v>
      </c>
      <c r="C38" s="3">
        <v>0.87339999999999995</v>
      </c>
      <c r="D38" s="3">
        <v>5.8259999999999996</v>
      </c>
      <c r="E38" s="3">
        <v>3.464</v>
      </c>
      <c r="F38" s="3">
        <v>2.823</v>
      </c>
      <c r="G38" s="3">
        <v>5.5270000000000001</v>
      </c>
      <c r="H38" s="4">
        <v>1</v>
      </c>
    </row>
    <row r="39" spans="1:8" x14ac:dyDescent="0.25">
      <c r="A39" s="3">
        <v>17.079999999999998</v>
      </c>
      <c r="B39" s="3">
        <v>15.38</v>
      </c>
      <c r="C39" s="3">
        <v>0.90790000000000004</v>
      </c>
      <c r="D39" s="3">
        <v>5.8319999999999999</v>
      </c>
      <c r="E39" s="3">
        <v>3.6829999999999998</v>
      </c>
      <c r="F39" s="3">
        <v>2.956</v>
      </c>
      <c r="G39" s="3">
        <v>5.484</v>
      </c>
      <c r="H39" s="4">
        <v>1</v>
      </c>
    </row>
    <row r="40" spans="1:8" x14ac:dyDescent="0.25">
      <c r="A40" s="3">
        <v>14.8</v>
      </c>
      <c r="B40" s="3">
        <v>14.52</v>
      </c>
      <c r="C40" s="3">
        <v>0.88229999999999997</v>
      </c>
      <c r="D40" s="3">
        <v>5.6559999999999997</v>
      </c>
      <c r="E40" s="3">
        <v>3.2879999999999998</v>
      </c>
      <c r="F40" s="3">
        <v>3.1120000000000001</v>
      </c>
      <c r="G40" s="3">
        <v>5.3090000000000002</v>
      </c>
      <c r="H40" s="4">
        <v>1</v>
      </c>
    </row>
    <row r="41" spans="1:8" x14ac:dyDescent="0.25">
      <c r="A41" s="3">
        <v>14.28</v>
      </c>
      <c r="B41" s="3">
        <v>14.17</v>
      </c>
      <c r="C41" s="3">
        <v>0.89439999999999997</v>
      </c>
      <c r="D41" s="3">
        <v>5.3970000000000002</v>
      </c>
      <c r="E41" s="3">
        <v>3.298</v>
      </c>
      <c r="F41" s="3">
        <v>6.6849999999999996</v>
      </c>
      <c r="G41" s="3">
        <v>5.0010000000000003</v>
      </c>
      <c r="H41" s="4">
        <v>1</v>
      </c>
    </row>
    <row r="42" spans="1:8" x14ac:dyDescent="0.25">
      <c r="A42" s="3">
        <v>13.54</v>
      </c>
      <c r="B42" s="3">
        <v>13.85</v>
      </c>
      <c r="C42" s="3">
        <v>0.8871</v>
      </c>
      <c r="D42" s="3">
        <v>5.3479999999999999</v>
      </c>
      <c r="E42" s="3">
        <v>3.1560000000000001</v>
      </c>
      <c r="F42" s="3">
        <v>2.5870000000000002</v>
      </c>
      <c r="G42" s="3">
        <v>5.1779999999999999</v>
      </c>
      <c r="H42" s="4">
        <v>1</v>
      </c>
    </row>
    <row r="43" spans="1:8" x14ac:dyDescent="0.25">
      <c r="A43" s="3">
        <v>13.5</v>
      </c>
      <c r="B43" s="3">
        <v>13.85</v>
      </c>
      <c r="C43" s="3">
        <v>0.88519999999999999</v>
      </c>
      <c r="D43" s="3">
        <v>5.351</v>
      </c>
      <c r="E43" s="3">
        <v>3.1579999999999999</v>
      </c>
      <c r="F43" s="3">
        <v>2.2490000000000001</v>
      </c>
      <c r="G43" s="3">
        <v>5.1760000000000002</v>
      </c>
      <c r="H43" s="4">
        <v>1</v>
      </c>
    </row>
    <row r="44" spans="1:8" x14ac:dyDescent="0.25">
      <c r="A44" s="3">
        <v>13.16</v>
      </c>
      <c r="B44" s="3">
        <v>13.55</v>
      </c>
      <c r="C44" s="3">
        <v>0.90090000000000003</v>
      </c>
      <c r="D44" s="3">
        <v>5.1379999999999999</v>
      </c>
      <c r="E44" s="3">
        <v>3.2010000000000001</v>
      </c>
      <c r="F44" s="3">
        <v>2.4609999999999999</v>
      </c>
      <c r="G44" s="3">
        <v>4.7830000000000004</v>
      </c>
      <c r="H44" s="4">
        <v>1</v>
      </c>
    </row>
    <row r="45" spans="1:8" x14ac:dyDescent="0.25">
      <c r="A45" s="3">
        <v>15.5</v>
      </c>
      <c r="B45" s="3">
        <v>14.86</v>
      </c>
      <c r="C45" s="3">
        <v>0.88200000000000001</v>
      </c>
      <c r="D45" s="3">
        <v>5.8769999999999998</v>
      </c>
      <c r="E45" s="3">
        <v>3.3959999999999999</v>
      </c>
      <c r="F45" s="3">
        <v>4.7110000000000003</v>
      </c>
      <c r="G45" s="3">
        <v>5.5279999999999996</v>
      </c>
      <c r="H45" s="4">
        <v>1</v>
      </c>
    </row>
    <row r="46" spans="1:8" x14ac:dyDescent="0.25">
      <c r="A46" s="3">
        <v>15.11</v>
      </c>
      <c r="B46" s="3">
        <v>14.54</v>
      </c>
      <c r="C46" s="3">
        <v>0.89859999999999995</v>
      </c>
      <c r="D46" s="3">
        <v>5.5789999999999997</v>
      </c>
      <c r="E46" s="3">
        <v>3.4620000000000002</v>
      </c>
      <c r="F46" s="3">
        <v>3.1280000000000001</v>
      </c>
      <c r="G46" s="3">
        <v>5.18</v>
      </c>
      <c r="H46" s="4">
        <v>1</v>
      </c>
    </row>
    <row r="47" spans="1:8" x14ac:dyDescent="0.25">
      <c r="A47" s="3">
        <v>13.8</v>
      </c>
      <c r="B47" s="3">
        <v>14.04</v>
      </c>
      <c r="C47" s="3">
        <v>0.87939999999999996</v>
      </c>
      <c r="D47" s="3">
        <v>5.3760000000000003</v>
      </c>
      <c r="E47" s="3">
        <v>3.1549999999999998</v>
      </c>
      <c r="F47" s="3">
        <v>1.56</v>
      </c>
      <c r="G47" s="3">
        <v>4.9610000000000003</v>
      </c>
      <c r="H47" s="4">
        <v>1</v>
      </c>
    </row>
    <row r="48" spans="1:8" x14ac:dyDescent="0.25">
      <c r="A48" s="3">
        <v>15.36</v>
      </c>
      <c r="B48" s="3">
        <v>14.76</v>
      </c>
      <c r="C48" s="3">
        <v>0.8861</v>
      </c>
      <c r="D48" s="3">
        <v>5.7009999999999996</v>
      </c>
      <c r="E48" s="3">
        <v>3.3929999999999998</v>
      </c>
      <c r="F48" s="3">
        <v>1.367</v>
      </c>
      <c r="G48" s="3">
        <v>5.1319999999999997</v>
      </c>
      <c r="H48" s="4">
        <v>1</v>
      </c>
    </row>
    <row r="49" spans="1:8" x14ac:dyDescent="0.25">
      <c r="A49" s="3">
        <v>14.99</v>
      </c>
      <c r="B49" s="3">
        <v>14.56</v>
      </c>
      <c r="C49" s="3">
        <v>0.88829999999999998</v>
      </c>
      <c r="D49" s="3">
        <v>5.57</v>
      </c>
      <c r="E49" s="3">
        <v>3.3769999999999998</v>
      </c>
      <c r="F49" s="3">
        <v>2.9580000000000002</v>
      </c>
      <c r="G49" s="3">
        <v>5.1749999999999998</v>
      </c>
      <c r="H49" s="4">
        <v>1</v>
      </c>
    </row>
    <row r="50" spans="1:8" x14ac:dyDescent="0.25">
      <c r="A50" s="3">
        <v>14.79</v>
      </c>
      <c r="B50" s="3">
        <v>14.52</v>
      </c>
      <c r="C50" s="3">
        <v>0.88190000000000002</v>
      </c>
      <c r="D50" s="3">
        <v>5.5449999999999999</v>
      </c>
      <c r="E50" s="3">
        <v>3.2909999999999999</v>
      </c>
      <c r="F50" s="3">
        <v>2.7040000000000002</v>
      </c>
      <c r="G50" s="3">
        <v>5.1109999999999998</v>
      </c>
      <c r="H50" s="4">
        <v>1</v>
      </c>
    </row>
    <row r="51" spans="1:8" x14ac:dyDescent="0.25">
      <c r="A51" s="3">
        <v>14.86</v>
      </c>
      <c r="B51" s="3">
        <v>14.67</v>
      </c>
      <c r="C51" s="3">
        <v>0.86760000000000004</v>
      </c>
      <c r="D51" s="3">
        <v>5.6779999999999999</v>
      </c>
      <c r="E51" s="3">
        <v>3.258</v>
      </c>
      <c r="F51" s="3">
        <v>2.129</v>
      </c>
      <c r="G51" s="3">
        <v>5.351</v>
      </c>
      <c r="H51" s="4">
        <v>1</v>
      </c>
    </row>
    <row r="52" spans="1:8" x14ac:dyDescent="0.25">
      <c r="A52" s="3">
        <v>14.43</v>
      </c>
      <c r="B52" s="3">
        <v>14.4</v>
      </c>
      <c r="C52" s="3">
        <v>0.87509999999999999</v>
      </c>
      <c r="D52" s="3">
        <v>5.585</v>
      </c>
      <c r="E52" s="3">
        <v>3.2719999999999998</v>
      </c>
      <c r="F52" s="3">
        <v>3.9750000000000001</v>
      </c>
      <c r="G52" s="3">
        <v>5.1440000000000001</v>
      </c>
      <c r="H52" s="4">
        <v>1</v>
      </c>
    </row>
    <row r="53" spans="1:8" x14ac:dyDescent="0.25">
      <c r="A53" s="3">
        <v>15.78</v>
      </c>
      <c r="B53" s="3">
        <v>14.91</v>
      </c>
      <c r="C53" s="3">
        <v>0.89229999999999998</v>
      </c>
      <c r="D53" s="3">
        <v>5.6740000000000004</v>
      </c>
      <c r="E53" s="3">
        <v>3.4340000000000002</v>
      </c>
      <c r="F53" s="3">
        <v>5.593</v>
      </c>
      <c r="G53" s="3">
        <v>5.1360000000000001</v>
      </c>
      <c r="H53" s="4">
        <v>1</v>
      </c>
    </row>
    <row r="54" spans="1:8" x14ac:dyDescent="0.25">
      <c r="A54" s="3">
        <v>14.49</v>
      </c>
      <c r="B54" s="3">
        <v>14.61</v>
      </c>
      <c r="C54" s="3">
        <v>0.8538</v>
      </c>
      <c r="D54" s="3">
        <v>5.7149999999999999</v>
      </c>
      <c r="E54" s="3">
        <v>3.113</v>
      </c>
      <c r="F54" s="3">
        <v>4.1159999999999997</v>
      </c>
      <c r="G54" s="3">
        <v>5.3959999999999999</v>
      </c>
      <c r="H54" s="4">
        <v>1</v>
      </c>
    </row>
    <row r="55" spans="1:8" x14ac:dyDescent="0.25">
      <c r="A55" s="3">
        <v>14.33</v>
      </c>
      <c r="B55" s="3">
        <v>14.28</v>
      </c>
      <c r="C55" s="3">
        <v>0.8831</v>
      </c>
      <c r="D55" s="3">
        <v>5.5039999999999996</v>
      </c>
      <c r="E55" s="3">
        <v>3.1989999999999998</v>
      </c>
      <c r="F55" s="3">
        <v>3.3279999999999998</v>
      </c>
      <c r="G55" s="3">
        <v>5.2240000000000002</v>
      </c>
      <c r="H55" s="4">
        <v>1</v>
      </c>
    </row>
    <row r="56" spans="1:8" x14ac:dyDescent="0.25">
      <c r="A56" s="3">
        <v>14.52</v>
      </c>
      <c r="B56" s="3">
        <v>14.6</v>
      </c>
      <c r="C56" s="3">
        <v>0.85570000000000002</v>
      </c>
      <c r="D56" s="3">
        <v>5.7409999999999997</v>
      </c>
      <c r="E56" s="3">
        <v>3.113</v>
      </c>
      <c r="F56" s="3">
        <v>1.4810000000000001</v>
      </c>
      <c r="G56" s="3">
        <v>5.4870000000000001</v>
      </c>
      <c r="H56" s="4">
        <v>1</v>
      </c>
    </row>
    <row r="57" spans="1:8" x14ac:dyDescent="0.25">
      <c r="A57" s="3">
        <v>15.03</v>
      </c>
      <c r="B57" s="3">
        <v>14.77</v>
      </c>
      <c r="C57" s="3">
        <v>0.86580000000000001</v>
      </c>
      <c r="D57" s="3">
        <v>5.702</v>
      </c>
      <c r="E57" s="3">
        <v>3.2120000000000002</v>
      </c>
      <c r="F57" s="3">
        <v>1.9330000000000001</v>
      </c>
      <c r="G57" s="3">
        <v>5.4390000000000001</v>
      </c>
      <c r="H57" s="4">
        <v>1</v>
      </c>
    </row>
    <row r="58" spans="1:8" x14ac:dyDescent="0.25">
      <c r="A58" s="3">
        <v>14.46</v>
      </c>
      <c r="B58" s="3">
        <v>14.35</v>
      </c>
      <c r="C58" s="3">
        <v>0.88180000000000003</v>
      </c>
      <c r="D58" s="3">
        <v>5.3879999999999999</v>
      </c>
      <c r="E58" s="3">
        <v>3.3769999999999998</v>
      </c>
      <c r="F58" s="3">
        <v>2.802</v>
      </c>
      <c r="G58" s="3">
        <v>5.0439999999999996</v>
      </c>
      <c r="H58" s="4">
        <v>1</v>
      </c>
    </row>
    <row r="59" spans="1:8" x14ac:dyDescent="0.25">
      <c r="A59" s="3">
        <v>14.92</v>
      </c>
      <c r="B59" s="3">
        <v>14.43</v>
      </c>
      <c r="C59" s="3">
        <v>0.90059999999999996</v>
      </c>
      <c r="D59" s="3">
        <v>5.3840000000000003</v>
      </c>
      <c r="E59" s="3">
        <v>3.4119999999999999</v>
      </c>
      <c r="F59" s="3">
        <v>1.1419999999999999</v>
      </c>
      <c r="G59" s="3">
        <v>5.0880000000000001</v>
      </c>
      <c r="H59" s="4">
        <v>1</v>
      </c>
    </row>
    <row r="60" spans="1:8" x14ac:dyDescent="0.25">
      <c r="A60" s="3">
        <v>15.38</v>
      </c>
      <c r="B60" s="3">
        <v>14.77</v>
      </c>
      <c r="C60" s="3">
        <v>0.88570000000000004</v>
      </c>
      <c r="D60" s="3">
        <v>5.6619999999999999</v>
      </c>
      <c r="E60" s="3">
        <v>3.419</v>
      </c>
      <c r="F60" s="3">
        <v>1.9990000000000001</v>
      </c>
      <c r="G60" s="3">
        <v>5.2220000000000004</v>
      </c>
      <c r="H60" s="4">
        <v>1</v>
      </c>
    </row>
    <row r="61" spans="1:8" x14ac:dyDescent="0.25">
      <c r="A61" s="3">
        <v>12.11</v>
      </c>
      <c r="B61" s="3">
        <v>13.47</v>
      </c>
      <c r="C61" s="3">
        <v>0.83919999999999995</v>
      </c>
      <c r="D61" s="3">
        <v>5.1589999999999998</v>
      </c>
      <c r="E61" s="3">
        <v>3.032</v>
      </c>
      <c r="F61" s="3">
        <v>1.502</v>
      </c>
      <c r="G61" s="3">
        <v>4.5190000000000001</v>
      </c>
      <c r="H61" s="4">
        <v>1</v>
      </c>
    </row>
    <row r="62" spans="1:8" x14ac:dyDescent="0.25">
      <c r="A62" s="3">
        <v>11.42</v>
      </c>
      <c r="B62" s="3">
        <v>12.86</v>
      </c>
      <c r="C62" s="3">
        <v>0.86829999999999996</v>
      </c>
      <c r="D62" s="3">
        <v>5.008</v>
      </c>
      <c r="E62" s="3">
        <v>2.85</v>
      </c>
      <c r="F62" s="3">
        <v>2.7</v>
      </c>
      <c r="G62" s="3">
        <v>4.6070000000000002</v>
      </c>
      <c r="H62" s="4">
        <v>1</v>
      </c>
    </row>
    <row r="63" spans="1:8" x14ac:dyDescent="0.25">
      <c r="A63" s="3">
        <v>11.23</v>
      </c>
      <c r="B63" s="3">
        <v>12.63</v>
      </c>
      <c r="C63" s="3">
        <v>0.88400000000000001</v>
      </c>
      <c r="D63" s="3">
        <v>4.9020000000000001</v>
      </c>
      <c r="E63" s="3">
        <v>2.879</v>
      </c>
      <c r="F63" s="3">
        <v>2.2690000000000001</v>
      </c>
      <c r="G63" s="3">
        <v>4.7030000000000003</v>
      </c>
      <c r="H63" s="4">
        <v>1</v>
      </c>
    </row>
    <row r="64" spans="1:8" x14ac:dyDescent="0.25">
      <c r="A64" s="3">
        <v>12.36</v>
      </c>
      <c r="B64" s="3">
        <v>13.19</v>
      </c>
      <c r="C64" s="3">
        <v>0.89229999999999998</v>
      </c>
      <c r="D64" s="3">
        <v>5.0759999999999996</v>
      </c>
      <c r="E64" s="3">
        <v>3.0419999999999998</v>
      </c>
      <c r="F64" s="3">
        <v>3.22</v>
      </c>
      <c r="G64" s="3">
        <v>4.6050000000000004</v>
      </c>
      <c r="H64" s="4">
        <v>1</v>
      </c>
    </row>
    <row r="65" spans="1:8" x14ac:dyDescent="0.25">
      <c r="A65" s="3">
        <v>13.22</v>
      </c>
      <c r="B65" s="3">
        <v>13.84</v>
      </c>
      <c r="C65" s="3">
        <v>0.86799999999999999</v>
      </c>
      <c r="D65" s="3">
        <v>5.3949999999999996</v>
      </c>
      <c r="E65" s="3">
        <v>3.07</v>
      </c>
      <c r="F65" s="3">
        <v>4.157</v>
      </c>
      <c r="G65" s="3">
        <v>5.0880000000000001</v>
      </c>
      <c r="H65" s="4">
        <v>1</v>
      </c>
    </row>
    <row r="66" spans="1:8" x14ac:dyDescent="0.25">
      <c r="A66" s="3">
        <v>12.78</v>
      </c>
      <c r="B66" s="3">
        <v>13.57</v>
      </c>
      <c r="C66" s="3">
        <v>0.87160000000000004</v>
      </c>
      <c r="D66" s="3">
        <v>5.2619999999999996</v>
      </c>
      <c r="E66" s="3">
        <v>3.0259999999999998</v>
      </c>
      <c r="F66" s="3">
        <v>1.1759999999999999</v>
      </c>
      <c r="G66" s="3">
        <v>4.782</v>
      </c>
      <c r="H66" s="4">
        <v>1</v>
      </c>
    </row>
    <row r="67" spans="1:8" x14ac:dyDescent="0.25">
      <c r="A67" s="3">
        <v>12.88</v>
      </c>
      <c r="B67" s="3">
        <v>13.5</v>
      </c>
      <c r="C67" s="3">
        <v>0.88790000000000002</v>
      </c>
      <c r="D67" s="3">
        <v>5.1390000000000002</v>
      </c>
      <c r="E67" s="3">
        <v>3.1190000000000002</v>
      </c>
      <c r="F67" s="3">
        <v>2.3519999999999999</v>
      </c>
      <c r="G67" s="3">
        <v>4.6070000000000002</v>
      </c>
      <c r="H67" s="4">
        <v>1</v>
      </c>
    </row>
    <row r="68" spans="1:8" x14ac:dyDescent="0.25">
      <c r="A68" s="3">
        <v>14.34</v>
      </c>
      <c r="B68" s="3">
        <v>14.37</v>
      </c>
      <c r="C68" s="3">
        <v>0.87260000000000004</v>
      </c>
      <c r="D68" s="3">
        <v>5.63</v>
      </c>
      <c r="E68" s="3">
        <v>3.19</v>
      </c>
      <c r="F68" s="3">
        <v>1.3129999999999999</v>
      </c>
      <c r="G68" s="3">
        <v>5.15</v>
      </c>
      <c r="H68" s="4">
        <v>1</v>
      </c>
    </row>
    <row r="69" spans="1:8" x14ac:dyDescent="0.25">
      <c r="A69" s="3">
        <v>14.01</v>
      </c>
      <c r="B69" s="3">
        <v>14.29</v>
      </c>
      <c r="C69" s="3">
        <v>0.86250000000000004</v>
      </c>
      <c r="D69" s="3">
        <v>5.609</v>
      </c>
      <c r="E69" s="3">
        <v>3.1579999999999999</v>
      </c>
      <c r="F69" s="3">
        <v>2.2170000000000001</v>
      </c>
      <c r="G69" s="3">
        <v>5.1319999999999997</v>
      </c>
      <c r="H69" s="4">
        <v>1</v>
      </c>
    </row>
    <row r="70" spans="1:8" x14ac:dyDescent="0.25">
      <c r="A70" s="3">
        <v>14.37</v>
      </c>
      <c r="B70" s="3">
        <v>14.39</v>
      </c>
      <c r="C70" s="3">
        <v>0.87260000000000004</v>
      </c>
      <c r="D70" s="3">
        <v>5.569</v>
      </c>
      <c r="E70" s="3">
        <v>3.153</v>
      </c>
      <c r="F70" s="3">
        <v>1.464</v>
      </c>
      <c r="G70" s="3">
        <v>5.3</v>
      </c>
      <c r="H70" s="4">
        <v>1</v>
      </c>
    </row>
    <row r="71" spans="1:8" x14ac:dyDescent="0.25">
      <c r="A71" s="3">
        <v>12.73</v>
      </c>
      <c r="B71" s="3">
        <v>13.75</v>
      </c>
      <c r="C71" s="3">
        <v>0.8458</v>
      </c>
      <c r="D71" s="3">
        <v>5.4119999999999999</v>
      </c>
      <c r="E71" s="3">
        <v>2.8820000000000001</v>
      </c>
      <c r="F71" s="3">
        <v>3.5329999999999999</v>
      </c>
      <c r="G71" s="3">
        <v>5.0670000000000002</v>
      </c>
      <c r="H71" s="4">
        <v>1</v>
      </c>
    </row>
    <row r="72" spans="1:8" x14ac:dyDescent="0.25">
      <c r="A72" s="3">
        <v>17.63</v>
      </c>
      <c r="B72" s="3">
        <v>15.98</v>
      </c>
      <c r="C72" s="3">
        <v>0.86729999999999996</v>
      </c>
      <c r="D72" s="3">
        <v>6.1909999999999998</v>
      </c>
      <c r="E72" s="3">
        <v>3.5609999999999999</v>
      </c>
      <c r="F72" s="3">
        <v>4.0759999999999996</v>
      </c>
      <c r="G72" s="3">
        <v>6.06</v>
      </c>
      <c r="H72" s="4">
        <v>2</v>
      </c>
    </row>
    <row r="73" spans="1:8" x14ac:dyDescent="0.25">
      <c r="A73" s="3">
        <v>16.84</v>
      </c>
      <c r="B73" s="3">
        <v>15.67</v>
      </c>
      <c r="C73" s="3">
        <v>0.86229999999999996</v>
      </c>
      <c r="D73" s="3">
        <v>5.9980000000000002</v>
      </c>
      <c r="E73" s="3">
        <v>3.484</v>
      </c>
      <c r="F73" s="3">
        <v>4.6749999999999998</v>
      </c>
      <c r="G73" s="3">
        <v>5.8769999999999998</v>
      </c>
      <c r="H73" s="4">
        <v>2</v>
      </c>
    </row>
    <row r="74" spans="1:8" x14ac:dyDescent="0.25">
      <c r="A74" s="3">
        <v>17.260000000000002</v>
      </c>
      <c r="B74" s="3">
        <v>15.73</v>
      </c>
      <c r="C74" s="3">
        <v>0.87629999999999997</v>
      </c>
      <c r="D74" s="3">
        <v>5.9779999999999998</v>
      </c>
      <c r="E74" s="3">
        <v>3.5939999999999999</v>
      </c>
      <c r="F74" s="3">
        <v>4.5389999999999997</v>
      </c>
      <c r="G74" s="3">
        <v>5.7910000000000004</v>
      </c>
      <c r="H74" s="4">
        <v>2</v>
      </c>
    </row>
    <row r="75" spans="1:8" x14ac:dyDescent="0.25">
      <c r="A75" s="3">
        <v>19.11</v>
      </c>
      <c r="B75" s="3">
        <v>16.260000000000002</v>
      </c>
      <c r="C75" s="3">
        <v>0.90810000000000002</v>
      </c>
      <c r="D75" s="3">
        <v>6.1539999999999999</v>
      </c>
      <c r="E75" s="3">
        <v>3.93</v>
      </c>
      <c r="F75" s="3">
        <v>2.9359999999999999</v>
      </c>
      <c r="G75" s="3">
        <v>6.0789999999999997</v>
      </c>
      <c r="H75" s="4">
        <v>2</v>
      </c>
    </row>
    <row r="76" spans="1:8" x14ac:dyDescent="0.25">
      <c r="A76" s="3">
        <v>16.82</v>
      </c>
      <c r="B76" s="3">
        <v>15.51</v>
      </c>
      <c r="C76" s="3">
        <v>0.87860000000000005</v>
      </c>
      <c r="D76" s="3">
        <v>6.0170000000000003</v>
      </c>
      <c r="E76" s="3">
        <v>3.4860000000000002</v>
      </c>
      <c r="F76" s="3">
        <v>4.0039999999999996</v>
      </c>
      <c r="G76" s="3">
        <v>5.8410000000000002</v>
      </c>
      <c r="H76" s="4">
        <v>2</v>
      </c>
    </row>
    <row r="77" spans="1:8" x14ac:dyDescent="0.25">
      <c r="A77" s="3">
        <v>16.77</v>
      </c>
      <c r="B77" s="3">
        <v>15.62</v>
      </c>
      <c r="C77" s="3">
        <v>0.86380000000000001</v>
      </c>
      <c r="D77" s="3">
        <v>5.9269999999999996</v>
      </c>
      <c r="E77" s="3">
        <v>3.4380000000000002</v>
      </c>
      <c r="F77" s="3">
        <v>4.92</v>
      </c>
      <c r="G77" s="3">
        <v>5.7949999999999999</v>
      </c>
      <c r="H77" s="4">
        <v>2</v>
      </c>
    </row>
    <row r="78" spans="1:8" x14ac:dyDescent="0.25">
      <c r="A78" s="3">
        <v>17.32</v>
      </c>
      <c r="B78" s="3">
        <v>15.91</v>
      </c>
      <c r="C78" s="3">
        <v>0.8599</v>
      </c>
      <c r="D78" s="3">
        <v>6.0640000000000001</v>
      </c>
      <c r="E78" s="3">
        <v>3.403</v>
      </c>
      <c r="F78" s="3">
        <v>3.8239999999999998</v>
      </c>
      <c r="G78" s="3">
        <v>5.9219999999999997</v>
      </c>
      <c r="H78" s="4">
        <v>2</v>
      </c>
    </row>
    <row r="79" spans="1:8" x14ac:dyDescent="0.25">
      <c r="A79" s="3">
        <v>20.71</v>
      </c>
      <c r="B79" s="3">
        <v>17.23</v>
      </c>
      <c r="C79" s="3">
        <v>0.87629999999999997</v>
      </c>
      <c r="D79" s="3">
        <v>6.5789999999999997</v>
      </c>
      <c r="E79" s="3">
        <v>3.8140000000000001</v>
      </c>
      <c r="F79" s="3">
        <v>4.4509999999999996</v>
      </c>
      <c r="G79" s="3">
        <v>6.4509999999999996</v>
      </c>
      <c r="H79" s="4">
        <v>2</v>
      </c>
    </row>
    <row r="80" spans="1:8" x14ac:dyDescent="0.25">
      <c r="A80" s="3">
        <v>18.940000000000001</v>
      </c>
      <c r="B80" s="3">
        <v>16.489999999999998</v>
      </c>
      <c r="C80" s="3">
        <v>0.875</v>
      </c>
      <c r="D80" s="3">
        <v>6.4450000000000003</v>
      </c>
      <c r="E80" s="3">
        <v>3.6389999999999998</v>
      </c>
      <c r="F80" s="3">
        <v>5.0640000000000001</v>
      </c>
      <c r="G80" s="3">
        <v>6.3620000000000001</v>
      </c>
      <c r="H80" s="4">
        <v>2</v>
      </c>
    </row>
    <row r="81" spans="1:8" x14ac:dyDescent="0.25">
      <c r="A81" s="3">
        <v>17.12</v>
      </c>
      <c r="B81" s="3">
        <v>15.55</v>
      </c>
      <c r="C81" s="3">
        <v>0.88919999999999999</v>
      </c>
      <c r="D81" s="3">
        <v>5.85</v>
      </c>
      <c r="E81" s="3">
        <v>3.5659999999999998</v>
      </c>
      <c r="F81" s="3">
        <v>2.8580000000000001</v>
      </c>
      <c r="G81" s="3">
        <v>5.7460000000000004</v>
      </c>
      <c r="H81" s="4">
        <v>2</v>
      </c>
    </row>
    <row r="82" spans="1:8" x14ac:dyDescent="0.25">
      <c r="A82" s="3">
        <v>16.53</v>
      </c>
      <c r="B82" s="3">
        <v>15.34</v>
      </c>
      <c r="C82" s="3">
        <v>0.88229999999999997</v>
      </c>
      <c r="D82" s="3">
        <v>5.875</v>
      </c>
      <c r="E82" s="3">
        <v>3.4670000000000001</v>
      </c>
      <c r="F82" s="3">
        <v>5.532</v>
      </c>
      <c r="G82" s="3">
        <v>5.88</v>
      </c>
      <c r="H82" s="4">
        <v>2</v>
      </c>
    </row>
    <row r="83" spans="1:8" x14ac:dyDescent="0.25">
      <c r="A83" s="3">
        <v>18.72</v>
      </c>
      <c r="B83" s="3">
        <v>16.190000000000001</v>
      </c>
      <c r="C83" s="3">
        <v>0.89770000000000005</v>
      </c>
      <c r="D83" s="3">
        <v>6.0060000000000002</v>
      </c>
      <c r="E83" s="3">
        <v>3.8570000000000002</v>
      </c>
      <c r="F83" s="3">
        <v>5.3239999999999998</v>
      </c>
      <c r="G83" s="3">
        <v>5.8789999999999996</v>
      </c>
      <c r="H83" s="4">
        <v>2</v>
      </c>
    </row>
    <row r="84" spans="1:8" x14ac:dyDescent="0.25">
      <c r="A84" s="3">
        <v>20.2</v>
      </c>
      <c r="B84" s="3">
        <v>16.89</v>
      </c>
      <c r="C84" s="3">
        <v>0.88939999999999997</v>
      </c>
      <c r="D84" s="3">
        <v>6.2850000000000001</v>
      </c>
      <c r="E84" s="3">
        <v>3.8639999999999999</v>
      </c>
      <c r="F84" s="3">
        <v>5.173</v>
      </c>
      <c r="G84" s="3">
        <v>6.1870000000000003</v>
      </c>
      <c r="H84" s="4">
        <v>2</v>
      </c>
    </row>
    <row r="85" spans="1:8" x14ac:dyDescent="0.25">
      <c r="A85" s="3">
        <v>19.57</v>
      </c>
      <c r="B85" s="3">
        <v>16.739999999999998</v>
      </c>
      <c r="C85" s="3">
        <v>0.87790000000000001</v>
      </c>
      <c r="D85" s="3">
        <v>6.3840000000000003</v>
      </c>
      <c r="E85" s="3">
        <v>3.7719999999999998</v>
      </c>
      <c r="F85" s="3">
        <v>1.472</v>
      </c>
      <c r="G85" s="3">
        <v>6.2729999999999997</v>
      </c>
      <c r="H85" s="4">
        <v>2</v>
      </c>
    </row>
    <row r="86" spans="1:8" x14ac:dyDescent="0.25">
      <c r="A86" s="3">
        <v>19.510000000000002</v>
      </c>
      <c r="B86" s="3">
        <v>16.71</v>
      </c>
      <c r="C86" s="3">
        <v>0.878</v>
      </c>
      <c r="D86" s="3">
        <v>6.3659999999999997</v>
      </c>
      <c r="E86" s="3">
        <v>3.8010000000000002</v>
      </c>
      <c r="F86" s="3">
        <v>2.9620000000000002</v>
      </c>
      <c r="G86" s="3">
        <v>6.1849999999999996</v>
      </c>
      <c r="H86" s="4">
        <v>2</v>
      </c>
    </row>
    <row r="87" spans="1:8" x14ac:dyDescent="0.25">
      <c r="A87" s="3">
        <v>18.27</v>
      </c>
      <c r="B87" s="3">
        <v>16.09</v>
      </c>
      <c r="C87" s="3">
        <v>0.88700000000000001</v>
      </c>
      <c r="D87" s="3">
        <v>6.173</v>
      </c>
      <c r="E87" s="3">
        <v>3.6509999999999998</v>
      </c>
      <c r="F87" s="3">
        <v>2.4430000000000001</v>
      </c>
      <c r="G87" s="3">
        <v>6.1970000000000001</v>
      </c>
      <c r="H87" s="4">
        <v>2</v>
      </c>
    </row>
    <row r="88" spans="1:8" x14ac:dyDescent="0.25">
      <c r="A88" s="3">
        <v>18.88</v>
      </c>
      <c r="B88" s="3">
        <v>16.260000000000002</v>
      </c>
      <c r="C88" s="3">
        <v>0.89690000000000003</v>
      </c>
      <c r="D88" s="3">
        <v>6.0839999999999996</v>
      </c>
      <c r="E88" s="3">
        <v>3.7639999999999998</v>
      </c>
      <c r="F88" s="3">
        <v>1.649</v>
      </c>
      <c r="G88" s="3">
        <v>6.109</v>
      </c>
      <c r="H88" s="4">
        <v>2</v>
      </c>
    </row>
    <row r="89" spans="1:8" x14ac:dyDescent="0.25">
      <c r="A89" s="3">
        <v>18.98</v>
      </c>
      <c r="B89" s="3">
        <v>16.66</v>
      </c>
      <c r="C89" s="3">
        <v>0.85899999999999999</v>
      </c>
      <c r="D89" s="3">
        <v>6.5490000000000004</v>
      </c>
      <c r="E89" s="3">
        <v>3.67</v>
      </c>
      <c r="F89" s="3">
        <v>3.6909999999999998</v>
      </c>
      <c r="G89" s="3">
        <v>6.4980000000000002</v>
      </c>
      <c r="H89" s="4">
        <v>2</v>
      </c>
    </row>
    <row r="90" spans="1:8" x14ac:dyDescent="0.25">
      <c r="A90" s="3">
        <v>21.18</v>
      </c>
      <c r="B90" s="3">
        <v>17.21</v>
      </c>
      <c r="C90" s="3">
        <v>0.89890000000000003</v>
      </c>
      <c r="D90" s="3">
        <v>6.5730000000000004</v>
      </c>
      <c r="E90" s="3">
        <v>4.0330000000000004</v>
      </c>
      <c r="F90" s="3">
        <v>5.78</v>
      </c>
      <c r="G90" s="3">
        <v>6.2309999999999999</v>
      </c>
      <c r="H90" s="4">
        <v>2</v>
      </c>
    </row>
    <row r="91" spans="1:8" x14ac:dyDescent="0.25">
      <c r="A91" s="3">
        <v>20.88</v>
      </c>
      <c r="B91" s="3">
        <v>17.05</v>
      </c>
      <c r="C91" s="3">
        <v>0.90310000000000001</v>
      </c>
      <c r="D91" s="3">
        <v>6.45</v>
      </c>
      <c r="E91" s="3">
        <v>4.032</v>
      </c>
      <c r="F91" s="3">
        <v>5.016</v>
      </c>
      <c r="G91" s="3">
        <v>6.3209999999999997</v>
      </c>
      <c r="H91" s="4">
        <v>2</v>
      </c>
    </row>
    <row r="92" spans="1:8" x14ac:dyDescent="0.25">
      <c r="A92" s="3">
        <v>20.100000000000001</v>
      </c>
      <c r="B92" s="3">
        <v>16.989999999999998</v>
      </c>
      <c r="C92" s="3">
        <v>0.87460000000000004</v>
      </c>
      <c r="D92" s="3">
        <v>6.5810000000000004</v>
      </c>
      <c r="E92" s="3">
        <v>3.7850000000000001</v>
      </c>
      <c r="F92" s="3">
        <v>1.9550000000000001</v>
      </c>
      <c r="G92" s="3">
        <v>6.4489999999999998</v>
      </c>
      <c r="H92" s="4">
        <v>2</v>
      </c>
    </row>
    <row r="93" spans="1:8" x14ac:dyDescent="0.25">
      <c r="A93" s="3">
        <v>18.760000000000002</v>
      </c>
      <c r="B93" s="3">
        <v>16.2</v>
      </c>
      <c r="C93" s="3">
        <v>0.89839999999999998</v>
      </c>
      <c r="D93" s="3">
        <v>6.1719999999999997</v>
      </c>
      <c r="E93" s="3">
        <v>3.7959999999999998</v>
      </c>
      <c r="F93" s="3">
        <v>3.12</v>
      </c>
      <c r="G93" s="3">
        <v>6.0529999999999999</v>
      </c>
      <c r="H93" s="4">
        <v>2</v>
      </c>
    </row>
    <row r="94" spans="1:8" x14ac:dyDescent="0.25">
      <c r="A94" s="3">
        <v>18.809999999999999</v>
      </c>
      <c r="B94" s="3">
        <v>16.29</v>
      </c>
      <c r="C94" s="3">
        <v>0.89059999999999995</v>
      </c>
      <c r="D94" s="3">
        <v>6.2720000000000002</v>
      </c>
      <c r="E94" s="3">
        <v>3.6930000000000001</v>
      </c>
      <c r="F94" s="3">
        <v>3.2370000000000001</v>
      </c>
      <c r="G94" s="3">
        <v>6.0529999999999999</v>
      </c>
      <c r="H94" s="4">
        <v>2</v>
      </c>
    </row>
    <row r="95" spans="1:8" x14ac:dyDescent="0.25">
      <c r="A95" s="3">
        <v>18.59</v>
      </c>
      <c r="B95" s="3">
        <v>16.05</v>
      </c>
      <c r="C95" s="3">
        <v>0.90659999999999996</v>
      </c>
      <c r="D95" s="3">
        <v>6.0369999999999999</v>
      </c>
      <c r="E95" s="3">
        <v>3.86</v>
      </c>
      <c r="F95" s="3">
        <v>6.0010000000000003</v>
      </c>
      <c r="G95" s="3">
        <v>5.8769999999999998</v>
      </c>
      <c r="H95" s="4">
        <v>2</v>
      </c>
    </row>
    <row r="96" spans="1:8" x14ac:dyDescent="0.25">
      <c r="A96" s="3">
        <v>18.36</v>
      </c>
      <c r="B96" s="3">
        <v>16.52</v>
      </c>
      <c r="C96" s="3">
        <v>0.84519999999999995</v>
      </c>
      <c r="D96" s="3">
        <v>6.6660000000000004</v>
      </c>
      <c r="E96" s="3">
        <v>3.4849999999999999</v>
      </c>
      <c r="F96" s="3">
        <v>4.9329999999999998</v>
      </c>
      <c r="G96" s="3">
        <v>6.4480000000000004</v>
      </c>
      <c r="H96" s="4">
        <v>2</v>
      </c>
    </row>
    <row r="97" spans="1:8" x14ac:dyDescent="0.25">
      <c r="A97" s="3">
        <v>16.87</v>
      </c>
      <c r="B97" s="3">
        <v>15.65</v>
      </c>
      <c r="C97" s="3">
        <v>0.86480000000000001</v>
      </c>
      <c r="D97" s="3">
        <v>6.1390000000000002</v>
      </c>
      <c r="E97" s="3">
        <v>3.4630000000000001</v>
      </c>
      <c r="F97" s="3">
        <v>3.6960000000000002</v>
      </c>
      <c r="G97" s="3">
        <v>5.9669999999999996</v>
      </c>
      <c r="H97" s="4">
        <v>2</v>
      </c>
    </row>
    <row r="98" spans="1:8" x14ac:dyDescent="0.25">
      <c r="A98" s="3">
        <v>19.309999999999999</v>
      </c>
      <c r="B98" s="3">
        <v>16.59</v>
      </c>
      <c r="C98" s="3">
        <v>0.88149999999999995</v>
      </c>
      <c r="D98" s="3">
        <v>6.3410000000000002</v>
      </c>
      <c r="E98" s="3">
        <v>3.81</v>
      </c>
      <c r="F98" s="3">
        <v>3.4769999999999999</v>
      </c>
      <c r="G98" s="3">
        <v>6.2380000000000004</v>
      </c>
      <c r="H98" s="4">
        <v>2</v>
      </c>
    </row>
    <row r="99" spans="1:8" x14ac:dyDescent="0.25">
      <c r="A99" s="3">
        <v>18.98</v>
      </c>
      <c r="B99" s="3">
        <v>16.57</v>
      </c>
      <c r="C99" s="3">
        <v>0.86870000000000003</v>
      </c>
      <c r="D99" s="3">
        <v>6.4489999999999998</v>
      </c>
      <c r="E99" s="3">
        <v>3.552</v>
      </c>
      <c r="F99" s="3">
        <v>2.1440000000000001</v>
      </c>
      <c r="G99" s="3">
        <v>6.4530000000000003</v>
      </c>
      <c r="H99" s="4">
        <v>2</v>
      </c>
    </row>
    <row r="100" spans="1:8" x14ac:dyDescent="0.25">
      <c r="A100" s="3">
        <v>18.170000000000002</v>
      </c>
      <c r="B100" s="3">
        <v>16.260000000000002</v>
      </c>
      <c r="C100" s="3">
        <v>0.86370000000000002</v>
      </c>
      <c r="D100" s="3">
        <v>6.2709999999999999</v>
      </c>
      <c r="E100" s="3">
        <v>3.512</v>
      </c>
      <c r="F100" s="3">
        <v>2.8530000000000002</v>
      </c>
      <c r="G100" s="3">
        <v>6.2729999999999997</v>
      </c>
      <c r="H100" s="4">
        <v>2</v>
      </c>
    </row>
    <row r="101" spans="1:8" x14ac:dyDescent="0.25">
      <c r="A101" s="3">
        <v>18.72</v>
      </c>
      <c r="B101" s="3">
        <v>16.34</v>
      </c>
      <c r="C101" s="3">
        <v>0.88100000000000001</v>
      </c>
      <c r="D101" s="3">
        <v>6.2190000000000003</v>
      </c>
      <c r="E101" s="3">
        <v>3.6840000000000002</v>
      </c>
      <c r="F101" s="3">
        <v>2.1880000000000002</v>
      </c>
      <c r="G101" s="3">
        <v>6.0970000000000004</v>
      </c>
      <c r="H101" s="4">
        <v>2</v>
      </c>
    </row>
    <row r="102" spans="1:8" x14ac:dyDescent="0.25">
      <c r="A102" s="3">
        <v>16.41</v>
      </c>
      <c r="B102" s="3">
        <v>15.25</v>
      </c>
      <c r="C102" s="3">
        <v>0.88660000000000005</v>
      </c>
      <c r="D102" s="3">
        <v>5.718</v>
      </c>
      <c r="E102" s="3">
        <v>3.5249999999999999</v>
      </c>
      <c r="F102" s="3">
        <v>4.2169999999999996</v>
      </c>
      <c r="G102" s="3">
        <v>5.6180000000000003</v>
      </c>
      <c r="H102" s="4">
        <v>2</v>
      </c>
    </row>
    <row r="103" spans="1:8" x14ac:dyDescent="0.25">
      <c r="A103" s="3">
        <v>17.989999999999998</v>
      </c>
      <c r="B103" s="3">
        <v>15.86</v>
      </c>
      <c r="C103" s="3">
        <v>0.8992</v>
      </c>
      <c r="D103" s="3">
        <v>5.89</v>
      </c>
      <c r="E103" s="3">
        <v>3.694</v>
      </c>
      <c r="F103" s="3">
        <v>2.0680000000000001</v>
      </c>
      <c r="G103" s="3">
        <v>5.8369999999999997</v>
      </c>
      <c r="H103" s="4">
        <v>2</v>
      </c>
    </row>
    <row r="104" spans="1:8" x14ac:dyDescent="0.25">
      <c r="A104" s="3">
        <v>19.46</v>
      </c>
      <c r="B104" s="3">
        <v>16.5</v>
      </c>
      <c r="C104" s="3">
        <v>0.89849999999999997</v>
      </c>
      <c r="D104" s="3">
        <v>6.1130000000000004</v>
      </c>
      <c r="E104" s="3">
        <v>3.8919999999999999</v>
      </c>
      <c r="F104" s="3">
        <v>4.3079999999999998</v>
      </c>
      <c r="G104" s="3">
        <v>6.0090000000000003</v>
      </c>
      <c r="H104" s="4">
        <v>2</v>
      </c>
    </row>
    <row r="105" spans="1:8" x14ac:dyDescent="0.25">
      <c r="A105" s="3">
        <v>19.18</v>
      </c>
      <c r="B105" s="3">
        <v>16.63</v>
      </c>
      <c r="C105" s="3">
        <v>0.87170000000000003</v>
      </c>
      <c r="D105" s="3">
        <v>6.3689999999999998</v>
      </c>
      <c r="E105" s="3">
        <v>3.681</v>
      </c>
      <c r="F105" s="3">
        <v>3.3570000000000002</v>
      </c>
      <c r="G105" s="3">
        <v>6.2290000000000001</v>
      </c>
      <c r="H105" s="4">
        <v>2</v>
      </c>
    </row>
    <row r="106" spans="1:8" x14ac:dyDescent="0.25">
      <c r="A106" s="3">
        <v>18.95</v>
      </c>
      <c r="B106" s="3">
        <v>16.420000000000002</v>
      </c>
      <c r="C106" s="3">
        <v>0.88290000000000002</v>
      </c>
      <c r="D106" s="3">
        <v>6.2480000000000002</v>
      </c>
      <c r="E106" s="3">
        <v>3.7549999999999999</v>
      </c>
      <c r="F106" s="3">
        <v>3.3679999999999999</v>
      </c>
      <c r="G106" s="3">
        <v>6.1479999999999997</v>
      </c>
      <c r="H106" s="4">
        <v>2</v>
      </c>
    </row>
    <row r="107" spans="1:8" x14ac:dyDescent="0.25">
      <c r="A107" s="3">
        <v>18.829999999999998</v>
      </c>
      <c r="B107" s="3">
        <v>16.29</v>
      </c>
      <c r="C107" s="3">
        <v>0.89170000000000005</v>
      </c>
      <c r="D107" s="3">
        <v>6.0369999999999999</v>
      </c>
      <c r="E107" s="3">
        <v>3.786</v>
      </c>
      <c r="F107" s="3">
        <v>2.5529999999999999</v>
      </c>
      <c r="G107" s="3">
        <v>5.8789999999999996</v>
      </c>
      <c r="H107" s="4">
        <v>2</v>
      </c>
    </row>
    <row r="108" spans="1:8" x14ac:dyDescent="0.25">
      <c r="A108" s="3">
        <v>18.850000000000001</v>
      </c>
      <c r="B108" s="3">
        <v>16.170000000000002</v>
      </c>
      <c r="C108" s="3">
        <v>0.90559999999999996</v>
      </c>
      <c r="D108" s="3">
        <v>6.1520000000000001</v>
      </c>
      <c r="E108" s="3">
        <v>3.806</v>
      </c>
      <c r="F108" s="3">
        <v>2.843</v>
      </c>
      <c r="G108" s="3">
        <v>6.2</v>
      </c>
      <c r="H108" s="4">
        <v>2</v>
      </c>
    </row>
    <row r="109" spans="1:8" x14ac:dyDescent="0.25">
      <c r="A109" s="3">
        <v>17.63</v>
      </c>
      <c r="B109" s="3">
        <v>15.86</v>
      </c>
      <c r="C109" s="3">
        <v>0.88</v>
      </c>
      <c r="D109" s="3">
        <v>6.0330000000000004</v>
      </c>
      <c r="E109" s="3">
        <v>3.573</v>
      </c>
      <c r="F109" s="3">
        <v>3.7469999999999999</v>
      </c>
      <c r="G109" s="3">
        <v>5.9290000000000003</v>
      </c>
      <c r="H109" s="4">
        <v>2</v>
      </c>
    </row>
    <row r="110" spans="1:8" x14ac:dyDescent="0.25">
      <c r="A110" s="3">
        <v>19.940000000000001</v>
      </c>
      <c r="B110" s="3">
        <v>16.920000000000002</v>
      </c>
      <c r="C110" s="3">
        <v>0.87519999999999998</v>
      </c>
      <c r="D110" s="3">
        <v>6.6749999999999998</v>
      </c>
      <c r="E110" s="3">
        <v>3.7629999999999999</v>
      </c>
      <c r="F110" s="3">
        <v>3.2519999999999998</v>
      </c>
      <c r="G110" s="3">
        <v>6.55</v>
      </c>
      <c r="H110" s="4">
        <v>2</v>
      </c>
    </row>
    <row r="111" spans="1:8" x14ac:dyDescent="0.25">
      <c r="A111" s="3">
        <v>18.55</v>
      </c>
      <c r="B111" s="3">
        <v>16.22</v>
      </c>
      <c r="C111" s="3">
        <v>0.88649999999999995</v>
      </c>
      <c r="D111" s="3">
        <v>6.1529999999999996</v>
      </c>
      <c r="E111" s="3">
        <v>3.6739999999999999</v>
      </c>
      <c r="F111" s="3">
        <v>1.738</v>
      </c>
      <c r="G111" s="3">
        <v>5.8940000000000001</v>
      </c>
      <c r="H111" s="4">
        <v>2</v>
      </c>
    </row>
    <row r="112" spans="1:8" x14ac:dyDescent="0.25">
      <c r="A112" s="3">
        <v>18.45</v>
      </c>
      <c r="B112" s="3">
        <v>16.12</v>
      </c>
      <c r="C112" s="3">
        <v>0.8921</v>
      </c>
      <c r="D112" s="3">
        <v>6.1070000000000002</v>
      </c>
      <c r="E112" s="3">
        <v>3.7690000000000001</v>
      </c>
      <c r="F112" s="3">
        <v>2.2349999999999999</v>
      </c>
      <c r="G112" s="3">
        <v>5.7939999999999996</v>
      </c>
      <c r="H112" s="4">
        <v>2</v>
      </c>
    </row>
    <row r="113" spans="1:8" x14ac:dyDescent="0.25">
      <c r="A113" s="3">
        <v>19.38</v>
      </c>
      <c r="B113" s="3">
        <v>16.72</v>
      </c>
      <c r="C113" s="3">
        <v>0.87160000000000004</v>
      </c>
      <c r="D113" s="3">
        <v>6.3029999999999999</v>
      </c>
      <c r="E113" s="3">
        <v>3.7909999999999999</v>
      </c>
      <c r="F113" s="3">
        <v>3.6779999999999999</v>
      </c>
      <c r="G113" s="3">
        <v>5.9649999999999999</v>
      </c>
      <c r="H113" s="4">
        <v>2</v>
      </c>
    </row>
    <row r="114" spans="1:8" x14ac:dyDescent="0.25">
      <c r="A114" s="3">
        <v>19.13</v>
      </c>
      <c r="B114" s="3">
        <v>16.309999999999999</v>
      </c>
      <c r="C114" s="3">
        <v>0.90349999999999997</v>
      </c>
      <c r="D114" s="3">
        <v>6.1829999999999998</v>
      </c>
      <c r="E114" s="3">
        <v>3.9020000000000001</v>
      </c>
      <c r="F114" s="3">
        <v>2.109</v>
      </c>
      <c r="G114" s="3">
        <v>5.9240000000000004</v>
      </c>
      <c r="H114" s="4">
        <v>2</v>
      </c>
    </row>
    <row r="115" spans="1:8" x14ac:dyDescent="0.25">
      <c r="A115" s="3">
        <v>19.14</v>
      </c>
      <c r="B115" s="3">
        <v>16.61</v>
      </c>
      <c r="C115" s="3">
        <v>0.87219999999999998</v>
      </c>
      <c r="D115" s="3">
        <v>6.2590000000000003</v>
      </c>
      <c r="E115" s="3">
        <v>3.7370000000000001</v>
      </c>
      <c r="F115" s="3">
        <v>6.6820000000000004</v>
      </c>
      <c r="G115" s="3">
        <v>6.0529999999999999</v>
      </c>
      <c r="H115" s="4">
        <v>2</v>
      </c>
    </row>
    <row r="116" spans="1:8" x14ac:dyDescent="0.25">
      <c r="A116" s="3">
        <v>20.97</v>
      </c>
      <c r="B116" s="3">
        <v>17.25</v>
      </c>
      <c r="C116" s="3">
        <v>0.88590000000000002</v>
      </c>
      <c r="D116" s="3">
        <v>6.5629999999999997</v>
      </c>
      <c r="E116" s="3">
        <v>3.9910000000000001</v>
      </c>
      <c r="F116" s="3">
        <v>4.6769999999999996</v>
      </c>
      <c r="G116" s="3">
        <v>6.3159999999999998</v>
      </c>
      <c r="H116" s="4">
        <v>2</v>
      </c>
    </row>
    <row r="117" spans="1:8" x14ac:dyDescent="0.25">
      <c r="A117" s="3">
        <v>19.059999999999999</v>
      </c>
      <c r="B117" s="3">
        <v>16.45</v>
      </c>
      <c r="C117" s="3">
        <v>0.88539999999999996</v>
      </c>
      <c r="D117" s="3">
        <v>6.4160000000000004</v>
      </c>
      <c r="E117" s="3">
        <v>3.7189999999999999</v>
      </c>
      <c r="F117" s="3">
        <v>2.2480000000000002</v>
      </c>
      <c r="G117" s="3">
        <v>6.1630000000000003</v>
      </c>
      <c r="H117" s="4">
        <v>2</v>
      </c>
    </row>
    <row r="118" spans="1:8" x14ac:dyDescent="0.25">
      <c r="A118" s="3">
        <v>18.96</v>
      </c>
      <c r="B118" s="3">
        <v>16.2</v>
      </c>
      <c r="C118" s="3">
        <v>0.90769999999999995</v>
      </c>
      <c r="D118" s="3">
        <v>6.0510000000000002</v>
      </c>
      <c r="E118" s="3">
        <v>3.8969999999999998</v>
      </c>
      <c r="F118" s="3">
        <v>4.3339999999999996</v>
      </c>
      <c r="G118" s="3">
        <v>5.75</v>
      </c>
      <c r="H118" s="4">
        <v>2</v>
      </c>
    </row>
    <row r="119" spans="1:8" x14ac:dyDescent="0.25">
      <c r="A119" s="3">
        <v>19.149999999999999</v>
      </c>
      <c r="B119" s="3">
        <v>16.45</v>
      </c>
      <c r="C119" s="3">
        <v>0.88900000000000001</v>
      </c>
      <c r="D119" s="3">
        <v>6.2450000000000001</v>
      </c>
      <c r="E119" s="3">
        <v>3.8149999999999999</v>
      </c>
      <c r="F119" s="3">
        <v>3.0840000000000001</v>
      </c>
      <c r="G119" s="3">
        <v>6.1849999999999996</v>
      </c>
      <c r="H119" s="4">
        <v>2</v>
      </c>
    </row>
    <row r="120" spans="1:8" x14ac:dyDescent="0.25">
      <c r="A120" s="3">
        <v>18.89</v>
      </c>
      <c r="B120" s="3">
        <v>16.23</v>
      </c>
      <c r="C120" s="3">
        <v>0.90080000000000005</v>
      </c>
      <c r="D120" s="3">
        <v>6.2270000000000003</v>
      </c>
      <c r="E120" s="3">
        <v>3.7690000000000001</v>
      </c>
      <c r="F120" s="3">
        <v>3.6389999999999998</v>
      </c>
      <c r="G120" s="3">
        <v>5.9660000000000002</v>
      </c>
      <c r="H120" s="4">
        <v>2</v>
      </c>
    </row>
    <row r="121" spans="1:8" x14ac:dyDescent="0.25">
      <c r="A121" s="3">
        <v>20.03</v>
      </c>
      <c r="B121" s="3">
        <v>16.899999999999999</v>
      </c>
      <c r="C121" s="3">
        <v>0.88109999999999999</v>
      </c>
      <c r="D121" s="3">
        <v>6.4930000000000003</v>
      </c>
      <c r="E121" s="3">
        <v>3.8570000000000002</v>
      </c>
      <c r="F121" s="3">
        <v>3.0630000000000002</v>
      </c>
      <c r="G121" s="3">
        <v>6.32</v>
      </c>
      <c r="H121" s="4">
        <v>2</v>
      </c>
    </row>
    <row r="122" spans="1:8" x14ac:dyDescent="0.25">
      <c r="A122" s="3">
        <v>20.239999999999998</v>
      </c>
      <c r="B122" s="3">
        <v>16.91</v>
      </c>
      <c r="C122" s="3">
        <v>0.88970000000000005</v>
      </c>
      <c r="D122" s="3">
        <v>6.3150000000000004</v>
      </c>
      <c r="E122" s="3">
        <v>3.9620000000000002</v>
      </c>
      <c r="F122" s="3">
        <v>5.9009999999999998</v>
      </c>
      <c r="G122" s="3">
        <v>6.1879999999999997</v>
      </c>
      <c r="H122" s="4">
        <v>2</v>
      </c>
    </row>
    <row r="123" spans="1:8" x14ac:dyDescent="0.25">
      <c r="A123" s="3">
        <v>18.14</v>
      </c>
      <c r="B123" s="3">
        <v>16.12</v>
      </c>
      <c r="C123" s="3">
        <v>0.87719999999999998</v>
      </c>
      <c r="D123" s="3">
        <v>6.0590000000000002</v>
      </c>
      <c r="E123" s="3">
        <v>3.5630000000000002</v>
      </c>
      <c r="F123" s="3">
        <v>3.6190000000000002</v>
      </c>
      <c r="G123" s="3">
        <v>6.0110000000000001</v>
      </c>
      <c r="H123" s="4">
        <v>2</v>
      </c>
    </row>
    <row r="124" spans="1:8" x14ac:dyDescent="0.25">
      <c r="A124" s="3">
        <v>16.170000000000002</v>
      </c>
      <c r="B124" s="3">
        <v>15.38</v>
      </c>
      <c r="C124" s="3">
        <v>0.85880000000000001</v>
      </c>
      <c r="D124" s="3">
        <v>5.7619999999999996</v>
      </c>
      <c r="E124" s="3">
        <v>3.387</v>
      </c>
      <c r="F124" s="3">
        <v>4.2859999999999996</v>
      </c>
      <c r="G124" s="3">
        <v>5.7030000000000003</v>
      </c>
      <c r="H124" s="4">
        <v>2</v>
      </c>
    </row>
    <row r="125" spans="1:8" x14ac:dyDescent="0.25">
      <c r="A125" s="3">
        <v>18.43</v>
      </c>
      <c r="B125" s="3">
        <v>15.97</v>
      </c>
      <c r="C125" s="3">
        <v>0.90769999999999995</v>
      </c>
      <c r="D125" s="3">
        <v>5.98</v>
      </c>
      <c r="E125" s="3">
        <v>3.7709999999999999</v>
      </c>
      <c r="F125" s="3">
        <v>2.984</v>
      </c>
      <c r="G125" s="3">
        <v>5.9050000000000002</v>
      </c>
      <c r="H125" s="4">
        <v>2</v>
      </c>
    </row>
    <row r="126" spans="1:8" x14ac:dyDescent="0.25">
      <c r="A126" s="3">
        <v>15.99</v>
      </c>
      <c r="B126" s="3">
        <v>14.89</v>
      </c>
      <c r="C126" s="3">
        <v>0.90639999999999998</v>
      </c>
      <c r="D126" s="3">
        <v>5.3630000000000004</v>
      </c>
      <c r="E126" s="3">
        <v>3.5819999999999999</v>
      </c>
      <c r="F126" s="3">
        <v>3.3359999999999999</v>
      </c>
      <c r="G126" s="3">
        <v>5.1440000000000001</v>
      </c>
      <c r="H126" s="4">
        <v>2</v>
      </c>
    </row>
    <row r="127" spans="1:8" x14ac:dyDescent="0.25">
      <c r="A127" s="3">
        <v>18.75</v>
      </c>
      <c r="B127" s="3">
        <v>16.18</v>
      </c>
      <c r="C127" s="3">
        <v>0.89990000000000003</v>
      </c>
      <c r="D127" s="3">
        <v>6.1109999999999998</v>
      </c>
      <c r="E127" s="3">
        <v>3.8690000000000002</v>
      </c>
      <c r="F127" s="3">
        <v>4.1879999999999997</v>
      </c>
      <c r="G127" s="3">
        <v>5.992</v>
      </c>
      <c r="H127" s="4">
        <v>2</v>
      </c>
    </row>
    <row r="128" spans="1:8" x14ac:dyDescent="0.25">
      <c r="A128" s="3">
        <v>18.649999999999999</v>
      </c>
      <c r="B128" s="3">
        <v>16.41</v>
      </c>
      <c r="C128" s="3">
        <v>0.86980000000000002</v>
      </c>
      <c r="D128" s="3">
        <v>6.2850000000000001</v>
      </c>
      <c r="E128" s="3">
        <v>3.5939999999999999</v>
      </c>
      <c r="F128" s="3">
        <v>4.391</v>
      </c>
      <c r="G128" s="3">
        <v>6.1020000000000003</v>
      </c>
      <c r="H128" s="4">
        <v>2</v>
      </c>
    </row>
    <row r="129" spans="1:8" x14ac:dyDescent="0.25">
      <c r="A129" s="3">
        <v>17.98</v>
      </c>
      <c r="B129" s="3">
        <v>15.85</v>
      </c>
      <c r="C129" s="3">
        <v>0.89929999999999999</v>
      </c>
      <c r="D129" s="3">
        <v>5.9790000000000001</v>
      </c>
      <c r="E129" s="3">
        <v>3.6869999999999998</v>
      </c>
      <c r="F129" s="3">
        <v>2.2570000000000001</v>
      </c>
      <c r="G129" s="3">
        <v>5.9189999999999996</v>
      </c>
      <c r="H129" s="4">
        <v>2</v>
      </c>
    </row>
    <row r="130" spans="1:8" x14ac:dyDescent="0.25">
      <c r="A130" s="3">
        <v>20.16</v>
      </c>
      <c r="B130" s="3">
        <v>17.03</v>
      </c>
      <c r="C130" s="3">
        <v>0.87350000000000005</v>
      </c>
      <c r="D130" s="3">
        <v>6.5129999999999999</v>
      </c>
      <c r="E130" s="3">
        <v>3.7730000000000001</v>
      </c>
      <c r="F130" s="3">
        <v>1.91</v>
      </c>
      <c r="G130" s="3">
        <v>6.1849999999999996</v>
      </c>
      <c r="H130" s="4">
        <v>2</v>
      </c>
    </row>
    <row r="131" spans="1:8" x14ac:dyDescent="0.25">
      <c r="A131" s="3">
        <v>17.55</v>
      </c>
      <c r="B131" s="3">
        <v>15.66</v>
      </c>
      <c r="C131" s="3">
        <v>0.89910000000000001</v>
      </c>
      <c r="D131" s="3">
        <v>5.7910000000000004</v>
      </c>
      <c r="E131" s="3">
        <v>3.69</v>
      </c>
      <c r="F131" s="3">
        <v>5.3659999999999997</v>
      </c>
      <c r="G131" s="3">
        <v>5.6609999999999996</v>
      </c>
      <c r="H131" s="4">
        <v>2</v>
      </c>
    </row>
    <row r="132" spans="1:8" x14ac:dyDescent="0.25">
      <c r="A132" s="3">
        <v>18.3</v>
      </c>
      <c r="B132" s="3">
        <v>15.89</v>
      </c>
      <c r="C132" s="3">
        <v>0.91080000000000005</v>
      </c>
      <c r="D132" s="3">
        <v>5.9790000000000001</v>
      </c>
      <c r="E132" s="3">
        <v>3.7549999999999999</v>
      </c>
      <c r="F132" s="3">
        <v>2.8370000000000002</v>
      </c>
      <c r="G132" s="3">
        <v>5.9619999999999997</v>
      </c>
      <c r="H132" s="4">
        <v>2</v>
      </c>
    </row>
    <row r="133" spans="1:8" x14ac:dyDescent="0.25">
      <c r="A133" s="3">
        <v>18.940000000000001</v>
      </c>
      <c r="B133" s="3">
        <v>16.32</v>
      </c>
      <c r="C133" s="3">
        <v>0.89419999999999999</v>
      </c>
      <c r="D133" s="3">
        <v>6.1440000000000001</v>
      </c>
      <c r="E133" s="3">
        <v>3.8250000000000002</v>
      </c>
      <c r="F133" s="3">
        <v>2.9079999999999999</v>
      </c>
      <c r="G133" s="3">
        <v>5.9489999999999998</v>
      </c>
      <c r="H133" s="4">
        <v>2</v>
      </c>
    </row>
    <row r="134" spans="1:8" x14ac:dyDescent="0.25">
      <c r="A134" s="3">
        <v>15.38</v>
      </c>
      <c r="B134" s="3">
        <v>14.9</v>
      </c>
      <c r="C134" s="3">
        <v>0.87060000000000004</v>
      </c>
      <c r="D134" s="3">
        <v>5.8840000000000003</v>
      </c>
      <c r="E134" s="3">
        <v>3.2679999999999998</v>
      </c>
      <c r="F134" s="3">
        <v>4.4619999999999997</v>
      </c>
      <c r="G134" s="3">
        <v>5.7949999999999999</v>
      </c>
      <c r="H134" s="4">
        <v>2</v>
      </c>
    </row>
    <row r="135" spans="1:8" x14ac:dyDescent="0.25">
      <c r="A135" s="3">
        <v>16.16</v>
      </c>
      <c r="B135" s="3">
        <v>15.33</v>
      </c>
      <c r="C135" s="3">
        <v>0.86439999999999995</v>
      </c>
      <c r="D135" s="3">
        <v>5.8449999999999998</v>
      </c>
      <c r="E135" s="3">
        <v>3.395</v>
      </c>
      <c r="F135" s="3">
        <v>4.266</v>
      </c>
      <c r="G135" s="3">
        <v>5.7949999999999999</v>
      </c>
      <c r="H135" s="4">
        <v>2</v>
      </c>
    </row>
    <row r="136" spans="1:8" x14ac:dyDescent="0.25">
      <c r="A136" s="3">
        <v>15.56</v>
      </c>
      <c r="B136" s="3">
        <v>14.89</v>
      </c>
      <c r="C136" s="3">
        <v>0.88229999999999997</v>
      </c>
      <c r="D136" s="3">
        <v>5.7759999999999998</v>
      </c>
      <c r="E136" s="3">
        <v>3.4079999999999999</v>
      </c>
      <c r="F136" s="3">
        <v>4.9720000000000004</v>
      </c>
      <c r="G136" s="3">
        <v>5.8470000000000004</v>
      </c>
      <c r="H136" s="4">
        <v>2</v>
      </c>
    </row>
    <row r="137" spans="1:8" x14ac:dyDescent="0.25">
      <c r="A137" s="3">
        <v>15.38</v>
      </c>
      <c r="B137" s="3">
        <v>14.66</v>
      </c>
      <c r="C137" s="3">
        <v>0.89900000000000002</v>
      </c>
      <c r="D137" s="3">
        <v>5.4770000000000003</v>
      </c>
      <c r="E137" s="3">
        <v>3.4649999999999999</v>
      </c>
      <c r="F137" s="3">
        <v>3.6</v>
      </c>
      <c r="G137" s="3">
        <v>5.4390000000000001</v>
      </c>
      <c r="H137" s="4">
        <v>2</v>
      </c>
    </row>
    <row r="138" spans="1:8" x14ac:dyDescent="0.25">
      <c r="A138" s="3">
        <v>17.36</v>
      </c>
      <c r="B138" s="3">
        <v>15.76</v>
      </c>
      <c r="C138" s="3">
        <v>0.87849999999999995</v>
      </c>
      <c r="D138" s="3">
        <v>6.1449999999999996</v>
      </c>
      <c r="E138" s="3">
        <v>3.5739999999999998</v>
      </c>
      <c r="F138" s="3">
        <v>3.5259999999999998</v>
      </c>
      <c r="G138" s="3">
        <v>5.9710000000000001</v>
      </c>
      <c r="H138" s="4">
        <v>2</v>
      </c>
    </row>
    <row r="139" spans="1:8" x14ac:dyDescent="0.25">
      <c r="A139" s="3">
        <v>15.57</v>
      </c>
      <c r="B139" s="3">
        <v>15.15</v>
      </c>
      <c r="C139" s="3">
        <v>0.85270000000000001</v>
      </c>
      <c r="D139" s="3">
        <v>5.92</v>
      </c>
      <c r="E139" s="3">
        <v>3.2309999999999999</v>
      </c>
      <c r="F139" s="3">
        <v>2.64</v>
      </c>
      <c r="G139" s="3">
        <v>5.8789999999999996</v>
      </c>
      <c r="H139" s="4">
        <v>2</v>
      </c>
    </row>
    <row r="140" spans="1:8" x14ac:dyDescent="0.25">
      <c r="A140" s="3">
        <v>15.6</v>
      </c>
      <c r="B140" s="3">
        <v>15.11</v>
      </c>
      <c r="C140" s="3">
        <v>0.85799999999999998</v>
      </c>
      <c r="D140" s="3">
        <v>5.8319999999999999</v>
      </c>
      <c r="E140" s="3">
        <v>3.286</v>
      </c>
      <c r="F140" s="3">
        <v>2.7250000000000001</v>
      </c>
      <c r="G140" s="3">
        <v>5.7519999999999998</v>
      </c>
      <c r="H140" s="4">
        <v>2</v>
      </c>
    </row>
    <row r="141" spans="1:8" x14ac:dyDescent="0.25">
      <c r="A141" s="3">
        <v>16.23</v>
      </c>
      <c r="B141" s="3">
        <v>15.18</v>
      </c>
      <c r="C141" s="3">
        <v>0.88500000000000001</v>
      </c>
      <c r="D141" s="3">
        <v>5.8719999999999999</v>
      </c>
      <c r="E141" s="3">
        <v>3.472</v>
      </c>
      <c r="F141" s="3">
        <v>3.7690000000000001</v>
      </c>
      <c r="G141" s="3">
        <v>5.9219999999999997</v>
      </c>
      <c r="H141" s="4">
        <v>2</v>
      </c>
    </row>
    <row r="142" spans="1:8" x14ac:dyDescent="0.25">
      <c r="A142" s="3">
        <v>13.07</v>
      </c>
      <c r="B142" s="3">
        <v>13.92</v>
      </c>
      <c r="C142" s="3">
        <v>0.84799999999999998</v>
      </c>
      <c r="D142" s="3">
        <v>5.4720000000000004</v>
      </c>
      <c r="E142" s="3">
        <v>2.9940000000000002</v>
      </c>
      <c r="F142" s="3">
        <v>5.3040000000000003</v>
      </c>
      <c r="G142" s="3">
        <v>5.3949999999999996</v>
      </c>
      <c r="H142" s="4">
        <v>3</v>
      </c>
    </row>
    <row r="143" spans="1:8" x14ac:dyDescent="0.25">
      <c r="A143" s="3">
        <v>13.32</v>
      </c>
      <c r="B143" s="3">
        <v>13.94</v>
      </c>
      <c r="C143" s="3">
        <v>0.86129999999999995</v>
      </c>
      <c r="D143" s="3">
        <v>5.5410000000000004</v>
      </c>
      <c r="E143" s="3">
        <v>3.073</v>
      </c>
      <c r="F143" s="3">
        <v>7.0350000000000001</v>
      </c>
      <c r="G143" s="3">
        <v>5.44</v>
      </c>
      <c r="H143" s="4">
        <v>3</v>
      </c>
    </row>
    <row r="144" spans="1:8" x14ac:dyDescent="0.25">
      <c r="A144" s="3">
        <v>13.34</v>
      </c>
      <c r="B144" s="3">
        <v>13.95</v>
      </c>
      <c r="C144" s="3">
        <v>0.86199999999999999</v>
      </c>
      <c r="D144" s="3">
        <v>5.3890000000000002</v>
      </c>
      <c r="E144" s="3">
        <v>3.0739999999999998</v>
      </c>
      <c r="F144" s="3">
        <v>5.9950000000000001</v>
      </c>
      <c r="G144" s="3">
        <v>5.3070000000000004</v>
      </c>
      <c r="H144" s="4">
        <v>3</v>
      </c>
    </row>
    <row r="145" spans="1:8" x14ac:dyDescent="0.25">
      <c r="A145" s="3">
        <v>12.22</v>
      </c>
      <c r="B145" s="3">
        <v>13.32</v>
      </c>
      <c r="C145" s="3">
        <v>0.86519999999999997</v>
      </c>
      <c r="D145" s="3">
        <v>5.2240000000000002</v>
      </c>
      <c r="E145" s="3">
        <v>2.9670000000000001</v>
      </c>
      <c r="F145" s="3">
        <v>5.4690000000000003</v>
      </c>
      <c r="G145" s="3">
        <v>5.2210000000000001</v>
      </c>
      <c r="H145" s="4">
        <v>3</v>
      </c>
    </row>
    <row r="146" spans="1:8" x14ac:dyDescent="0.25">
      <c r="A146" s="3">
        <v>11.82</v>
      </c>
      <c r="B146" s="3">
        <v>13.4</v>
      </c>
      <c r="C146" s="3">
        <v>0.82740000000000002</v>
      </c>
      <c r="D146" s="3">
        <v>5.3140000000000001</v>
      </c>
      <c r="E146" s="3">
        <v>2.7770000000000001</v>
      </c>
      <c r="F146" s="3">
        <v>4.4710000000000001</v>
      </c>
      <c r="G146" s="3">
        <v>5.1779999999999999</v>
      </c>
      <c r="H146" s="4">
        <v>3</v>
      </c>
    </row>
    <row r="147" spans="1:8" x14ac:dyDescent="0.25">
      <c r="A147" s="3">
        <v>11.21</v>
      </c>
      <c r="B147" s="3">
        <v>13.13</v>
      </c>
      <c r="C147" s="3">
        <v>0.81669999999999998</v>
      </c>
      <c r="D147" s="3">
        <v>5.2789999999999999</v>
      </c>
      <c r="E147" s="3">
        <v>2.6869999999999998</v>
      </c>
      <c r="F147" s="3">
        <v>6.1689999999999996</v>
      </c>
      <c r="G147" s="3">
        <v>5.2750000000000004</v>
      </c>
      <c r="H147" s="4">
        <v>3</v>
      </c>
    </row>
    <row r="148" spans="1:8" x14ac:dyDescent="0.25">
      <c r="A148" s="3">
        <v>11.43</v>
      </c>
      <c r="B148" s="3">
        <v>13.13</v>
      </c>
      <c r="C148" s="3">
        <v>0.83350000000000002</v>
      </c>
      <c r="D148" s="3">
        <v>5.1760000000000002</v>
      </c>
      <c r="E148" s="3">
        <v>2.7189999999999999</v>
      </c>
      <c r="F148" s="3">
        <v>2.2210000000000001</v>
      </c>
      <c r="G148" s="3">
        <v>5.1319999999999997</v>
      </c>
      <c r="H148" s="4">
        <v>3</v>
      </c>
    </row>
    <row r="149" spans="1:8" x14ac:dyDescent="0.25">
      <c r="A149" s="3">
        <v>12.49</v>
      </c>
      <c r="B149" s="3">
        <v>13.46</v>
      </c>
      <c r="C149" s="3">
        <v>0.86580000000000001</v>
      </c>
      <c r="D149" s="3">
        <v>5.2670000000000003</v>
      </c>
      <c r="E149" s="3">
        <v>2.9670000000000001</v>
      </c>
      <c r="F149" s="3">
        <v>4.4210000000000003</v>
      </c>
      <c r="G149" s="3">
        <v>5.0019999999999998</v>
      </c>
      <c r="H149" s="4">
        <v>3</v>
      </c>
    </row>
    <row r="150" spans="1:8" x14ac:dyDescent="0.25">
      <c r="A150" s="3">
        <v>12.7</v>
      </c>
      <c r="B150" s="3">
        <v>13.71</v>
      </c>
      <c r="C150" s="3">
        <v>0.84909999999999997</v>
      </c>
      <c r="D150" s="3">
        <v>5.3860000000000001</v>
      </c>
      <c r="E150" s="3">
        <v>2.911</v>
      </c>
      <c r="F150" s="3">
        <v>3.26</v>
      </c>
      <c r="G150" s="3">
        <v>5.3159999999999998</v>
      </c>
      <c r="H150" s="4">
        <v>3</v>
      </c>
    </row>
    <row r="151" spans="1:8" x14ac:dyDescent="0.25">
      <c r="A151" s="3">
        <v>10.79</v>
      </c>
      <c r="B151" s="3">
        <v>12.93</v>
      </c>
      <c r="C151" s="3">
        <v>0.81069999999999998</v>
      </c>
      <c r="D151" s="3">
        <v>5.3170000000000002</v>
      </c>
      <c r="E151" s="3">
        <v>2.6480000000000001</v>
      </c>
      <c r="F151" s="3">
        <v>5.4619999999999997</v>
      </c>
      <c r="G151" s="3">
        <v>5.194</v>
      </c>
      <c r="H151" s="4">
        <v>3</v>
      </c>
    </row>
    <row r="152" spans="1:8" x14ac:dyDescent="0.25">
      <c r="A152" s="3">
        <v>11.83</v>
      </c>
      <c r="B152" s="3">
        <v>13.23</v>
      </c>
      <c r="C152" s="3">
        <v>0.84960000000000002</v>
      </c>
      <c r="D152" s="3">
        <v>5.2629999999999999</v>
      </c>
      <c r="E152" s="3">
        <v>2.84</v>
      </c>
      <c r="F152" s="3">
        <v>5.1950000000000003</v>
      </c>
      <c r="G152" s="3">
        <v>5.3070000000000004</v>
      </c>
      <c r="H152" s="4">
        <v>3</v>
      </c>
    </row>
    <row r="153" spans="1:8" x14ac:dyDescent="0.25">
      <c r="A153" s="3">
        <v>12.01</v>
      </c>
      <c r="B153" s="3">
        <v>13.52</v>
      </c>
      <c r="C153" s="3">
        <v>0.82489999999999997</v>
      </c>
      <c r="D153" s="3">
        <v>5.4050000000000002</v>
      </c>
      <c r="E153" s="3">
        <v>2.7759999999999998</v>
      </c>
      <c r="F153" s="3">
        <v>6.992</v>
      </c>
      <c r="G153" s="3">
        <v>5.27</v>
      </c>
      <c r="H153" s="4">
        <v>3</v>
      </c>
    </row>
    <row r="154" spans="1:8" x14ac:dyDescent="0.25">
      <c r="A154" s="3">
        <v>12.26</v>
      </c>
      <c r="B154" s="3">
        <v>13.6</v>
      </c>
      <c r="C154" s="3">
        <v>0.83330000000000004</v>
      </c>
      <c r="D154" s="3">
        <v>5.4080000000000004</v>
      </c>
      <c r="E154" s="3">
        <v>2.8330000000000002</v>
      </c>
      <c r="F154" s="3">
        <v>4.7560000000000002</v>
      </c>
      <c r="G154" s="3">
        <v>5.36</v>
      </c>
      <c r="H154" s="4">
        <v>3</v>
      </c>
    </row>
    <row r="155" spans="1:8" x14ac:dyDescent="0.25">
      <c r="A155" s="3">
        <v>11.18</v>
      </c>
      <c r="B155" s="3">
        <v>13.04</v>
      </c>
      <c r="C155" s="3">
        <v>0.8266</v>
      </c>
      <c r="D155" s="3">
        <v>5.22</v>
      </c>
      <c r="E155" s="3">
        <v>2.6930000000000001</v>
      </c>
      <c r="F155" s="3">
        <v>3.3319999999999999</v>
      </c>
      <c r="G155" s="3">
        <v>5.0010000000000003</v>
      </c>
      <c r="H155" s="4">
        <v>3</v>
      </c>
    </row>
    <row r="156" spans="1:8" x14ac:dyDescent="0.25">
      <c r="A156" s="3">
        <v>11.36</v>
      </c>
      <c r="B156" s="3">
        <v>13.05</v>
      </c>
      <c r="C156" s="3">
        <v>0.83819999999999995</v>
      </c>
      <c r="D156" s="3">
        <v>5.1749999999999998</v>
      </c>
      <c r="E156" s="3">
        <v>2.7549999999999999</v>
      </c>
      <c r="F156" s="3">
        <v>4.048</v>
      </c>
      <c r="G156" s="3">
        <v>5.2629999999999999</v>
      </c>
      <c r="H156" s="4">
        <v>3</v>
      </c>
    </row>
    <row r="157" spans="1:8" x14ac:dyDescent="0.25">
      <c r="A157" s="3">
        <v>11.19</v>
      </c>
      <c r="B157" s="3">
        <v>13.05</v>
      </c>
      <c r="C157" s="3">
        <v>0.82530000000000003</v>
      </c>
      <c r="D157" s="3">
        <v>5.25</v>
      </c>
      <c r="E157" s="3">
        <v>2.6749999999999998</v>
      </c>
      <c r="F157" s="3">
        <v>5.8129999999999997</v>
      </c>
      <c r="G157" s="3">
        <v>5.2190000000000003</v>
      </c>
      <c r="H157" s="4">
        <v>3</v>
      </c>
    </row>
    <row r="158" spans="1:8" x14ac:dyDescent="0.25">
      <c r="A158" s="3">
        <v>11.34</v>
      </c>
      <c r="B158" s="3">
        <v>12.87</v>
      </c>
      <c r="C158" s="3">
        <v>0.85960000000000003</v>
      </c>
      <c r="D158" s="3">
        <v>5.0529999999999999</v>
      </c>
      <c r="E158" s="3">
        <v>2.8490000000000002</v>
      </c>
      <c r="F158" s="3">
        <v>3.347</v>
      </c>
      <c r="G158" s="3">
        <v>5.0030000000000001</v>
      </c>
      <c r="H158" s="4">
        <v>3</v>
      </c>
    </row>
    <row r="159" spans="1:8" x14ac:dyDescent="0.25">
      <c r="A159" s="3">
        <v>12.13</v>
      </c>
      <c r="B159" s="3">
        <v>13.73</v>
      </c>
      <c r="C159" s="3">
        <v>0.80810000000000004</v>
      </c>
      <c r="D159" s="3">
        <v>5.3940000000000001</v>
      </c>
      <c r="E159" s="3">
        <v>2.7450000000000001</v>
      </c>
      <c r="F159" s="3">
        <v>4.8250000000000002</v>
      </c>
      <c r="G159" s="3">
        <v>5.22</v>
      </c>
      <c r="H159" s="4">
        <v>3</v>
      </c>
    </row>
    <row r="160" spans="1:8" x14ac:dyDescent="0.25">
      <c r="A160" s="3">
        <v>11.75</v>
      </c>
      <c r="B160" s="3">
        <v>13.52</v>
      </c>
      <c r="C160" s="3">
        <v>0.80820000000000003</v>
      </c>
      <c r="D160" s="3">
        <v>5.444</v>
      </c>
      <c r="E160" s="3">
        <v>2.6779999999999999</v>
      </c>
      <c r="F160" s="3">
        <v>4.3780000000000001</v>
      </c>
      <c r="G160" s="3">
        <v>5.31</v>
      </c>
      <c r="H160" s="4">
        <v>3</v>
      </c>
    </row>
    <row r="161" spans="1:8" x14ac:dyDescent="0.25">
      <c r="A161" s="3">
        <v>11.49</v>
      </c>
      <c r="B161" s="3">
        <v>13.22</v>
      </c>
      <c r="C161" s="3">
        <v>0.82630000000000003</v>
      </c>
      <c r="D161" s="3">
        <v>5.3040000000000003</v>
      </c>
      <c r="E161" s="3">
        <v>2.6949999999999998</v>
      </c>
      <c r="F161" s="3">
        <v>5.3879999999999999</v>
      </c>
      <c r="G161" s="3">
        <v>5.31</v>
      </c>
      <c r="H161" s="4">
        <v>3</v>
      </c>
    </row>
    <row r="162" spans="1:8" x14ac:dyDescent="0.25">
      <c r="A162" s="3">
        <v>12.54</v>
      </c>
      <c r="B162" s="3">
        <v>13.67</v>
      </c>
      <c r="C162" s="3">
        <v>0.84250000000000003</v>
      </c>
      <c r="D162" s="3">
        <v>5.4509999999999996</v>
      </c>
      <c r="E162" s="3">
        <v>2.879</v>
      </c>
      <c r="F162" s="3">
        <v>3.0819999999999999</v>
      </c>
      <c r="G162" s="3">
        <v>5.4909999999999997</v>
      </c>
      <c r="H162" s="4">
        <v>3</v>
      </c>
    </row>
    <row r="163" spans="1:8" x14ac:dyDescent="0.25">
      <c r="A163" s="3">
        <v>12.02</v>
      </c>
      <c r="B163" s="3">
        <v>13.33</v>
      </c>
      <c r="C163" s="3">
        <v>0.85029999999999994</v>
      </c>
      <c r="D163" s="3">
        <v>5.35</v>
      </c>
      <c r="E163" s="3">
        <v>2.81</v>
      </c>
      <c r="F163" s="3">
        <v>4.2709999999999999</v>
      </c>
      <c r="G163" s="3">
        <v>5.3079999999999998</v>
      </c>
      <c r="H163" s="4">
        <v>3</v>
      </c>
    </row>
    <row r="164" spans="1:8" x14ac:dyDescent="0.25">
      <c r="A164" s="3">
        <v>12.05</v>
      </c>
      <c r="B164" s="3">
        <v>13.41</v>
      </c>
      <c r="C164" s="3">
        <v>0.84160000000000001</v>
      </c>
      <c r="D164" s="3">
        <v>5.2670000000000003</v>
      </c>
      <c r="E164" s="3">
        <v>2.847</v>
      </c>
      <c r="F164" s="3">
        <v>4.9880000000000004</v>
      </c>
      <c r="G164" s="3">
        <v>5.0460000000000003</v>
      </c>
      <c r="H164" s="4">
        <v>3</v>
      </c>
    </row>
    <row r="165" spans="1:8" x14ac:dyDescent="0.25">
      <c r="A165" s="3">
        <v>12.55</v>
      </c>
      <c r="B165" s="3">
        <v>13.57</v>
      </c>
      <c r="C165" s="3">
        <v>0.85580000000000001</v>
      </c>
      <c r="D165" s="3">
        <v>5.3330000000000002</v>
      </c>
      <c r="E165" s="3">
        <v>2.968</v>
      </c>
      <c r="F165" s="3">
        <v>4.4189999999999996</v>
      </c>
      <c r="G165" s="3">
        <v>5.1760000000000002</v>
      </c>
      <c r="H165" s="4">
        <v>3</v>
      </c>
    </row>
    <row r="166" spans="1:8" x14ac:dyDescent="0.25">
      <c r="A166" s="3">
        <v>11.14</v>
      </c>
      <c r="B166" s="3">
        <v>12.79</v>
      </c>
      <c r="C166" s="3">
        <v>0.85580000000000001</v>
      </c>
      <c r="D166" s="3">
        <v>5.0110000000000001</v>
      </c>
      <c r="E166" s="3">
        <v>2.794</v>
      </c>
      <c r="F166" s="3">
        <v>6.3879999999999999</v>
      </c>
      <c r="G166" s="3">
        <v>5.0490000000000004</v>
      </c>
      <c r="H166" s="4">
        <v>3</v>
      </c>
    </row>
    <row r="167" spans="1:8" x14ac:dyDescent="0.25">
      <c r="A167" s="3">
        <v>12.1</v>
      </c>
      <c r="B167" s="3">
        <v>13.15</v>
      </c>
      <c r="C167" s="3">
        <v>0.87929999999999997</v>
      </c>
      <c r="D167" s="3">
        <v>5.1050000000000004</v>
      </c>
      <c r="E167" s="3">
        <v>2.9409999999999998</v>
      </c>
      <c r="F167" s="3">
        <v>2.2010000000000001</v>
      </c>
      <c r="G167" s="3">
        <v>5.056</v>
      </c>
      <c r="H167" s="4">
        <v>3</v>
      </c>
    </row>
    <row r="168" spans="1:8" x14ac:dyDescent="0.25">
      <c r="A168" s="3">
        <v>12.44</v>
      </c>
      <c r="B168" s="3">
        <v>13.59</v>
      </c>
      <c r="C168" s="3">
        <v>0.84619999999999995</v>
      </c>
      <c r="D168" s="3">
        <v>5.319</v>
      </c>
      <c r="E168" s="3">
        <v>2.8969999999999998</v>
      </c>
      <c r="F168" s="3">
        <v>4.9240000000000004</v>
      </c>
      <c r="G168" s="3">
        <v>5.27</v>
      </c>
      <c r="H168" s="4">
        <v>3</v>
      </c>
    </row>
    <row r="169" spans="1:8" x14ac:dyDescent="0.25">
      <c r="A169" s="3">
        <v>12.15</v>
      </c>
      <c r="B169" s="3">
        <v>13.45</v>
      </c>
      <c r="C169" s="3">
        <v>0.84430000000000005</v>
      </c>
      <c r="D169" s="3">
        <v>5.4169999999999998</v>
      </c>
      <c r="E169" s="3">
        <v>2.8370000000000002</v>
      </c>
      <c r="F169" s="3">
        <v>3.6379999999999999</v>
      </c>
      <c r="G169" s="3">
        <v>5.3380000000000001</v>
      </c>
      <c r="H169" s="4">
        <v>3</v>
      </c>
    </row>
    <row r="170" spans="1:8" x14ac:dyDescent="0.25">
      <c r="A170" s="3">
        <v>11.35</v>
      </c>
      <c r="B170" s="3">
        <v>13.12</v>
      </c>
      <c r="C170" s="3">
        <v>0.82909999999999995</v>
      </c>
      <c r="D170" s="3">
        <v>5.1760000000000002</v>
      </c>
      <c r="E170" s="3">
        <v>2.6680000000000001</v>
      </c>
      <c r="F170" s="3">
        <v>4.3369999999999997</v>
      </c>
      <c r="G170" s="3">
        <v>5.1319999999999997</v>
      </c>
      <c r="H170" s="4">
        <v>3</v>
      </c>
    </row>
    <row r="171" spans="1:8" x14ac:dyDescent="0.25">
      <c r="A171" s="3">
        <v>11.24</v>
      </c>
      <c r="B171" s="3">
        <v>13</v>
      </c>
      <c r="C171" s="3">
        <v>0.83589999999999998</v>
      </c>
      <c r="D171" s="3">
        <v>5.09</v>
      </c>
      <c r="E171" s="3">
        <v>2.7149999999999999</v>
      </c>
      <c r="F171" s="3">
        <v>3.5209999999999999</v>
      </c>
      <c r="G171" s="3">
        <v>5.0880000000000001</v>
      </c>
      <c r="H171" s="4">
        <v>3</v>
      </c>
    </row>
    <row r="172" spans="1:8" x14ac:dyDescent="0.25">
      <c r="A172" s="3">
        <v>11.02</v>
      </c>
      <c r="B172" s="3">
        <v>13</v>
      </c>
      <c r="C172" s="3">
        <v>0.81889999999999996</v>
      </c>
      <c r="D172" s="3">
        <v>5.3250000000000002</v>
      </c>
      <c r="E172" s="3">
        <v>2.7010000000000001</v>
      </c>
      <c r="F172" s="3">
        <v>6.7350000000000003</v>
      </c>
      <c r="G172" s="3">
        <v>5.1630000000000003</v>
      </c>
      <c r="H172" s="4">
        <v>3</v>
      </c>
    </row>
    <row r="173" spans="1:8" x14ac:dyDescent="0.25">
      <c r="A173" s="3">
        <v>11.55</v>
      </c>
      <c r="B173" s="3">
        <v>13.1</v>
      </c>
      <c r="C173" s="3">
        <v>0.84550000000000003</v>
      </c>
      <c r="D173" s="3">
        <v>5.1669999999999998</v>
      </c>
      <c r="E173" s="3">
        <v>2.8450000000000002</v>
      </c>
      <c r="F173" s="3">
        <v>6.7149999999999999</v>
      </c>
      <c r="G173" s="3">
        <v>4.9560000000000004</v>
      </c>
      <c r="H173" s="4">
        <v>3</v>
      </c>
    </row>
    <row r="174" spans="1:8" x14ac:dyDescent="0.25">
      <c r="A174" s="3">
        <v>11.27</v>
      </c>
      <c r="B174" s="3">
        <v>12.97</v>
      </c>
      <c r="C174" s="3">
        <v>0.84189999999999998</v>
      </c>
      <c r="D174" s="3">
        <v>5.0880000000000001</v>
      </c>
      <c r="E174" s="3">
        <v>2.7629999999999999</v>
      </c>
      <c r="F174" s="3">
        <v>4.3090000000000002</v>
      </c>
      <c r="G174" s="3">
        <v>5</v>
      </c>
      <c r="H174" s="4">
        <v>3</v>
      </c>
    </row>
    <row r="175" spans="1:8" x14ac:dyDescent="0.25">
      <c r="A175" s="3">
        <v>11.4</v>
      </c>
      <c r="B175" s="3">
        <v>13.08</v>
      </c>
      <c r="C175" s="3">
        <v>0.83750000000000002</v>
      </c>
      <c r="D175" s="3">
        <v>5.1360000000000001</v>
      </c>
      <c r="E175" s="3">
        <v>2.7629999999999999</v>
      </c>
      <c r="F175" s="3">
        <v>5.5880000000000001</v>
      </c>
      <c r="G175" s="3">
        <v>5.0890000000000004</v>
      </c>
      <c r="H175" s="4">
        <v>3</v>
      </c>
    </row>
    <row r="176" spans="1:8" x14ac:dyDescent="0.25">
      <c r="A176" s="3">
        <v>10.83</v>
      </c>
      <c r="B176" s="3">
        <v>12.96</v>
      </c>
      <c r="C176" s="3">
        <v>0.80989999999999995</v>
      </c>
      <c r="D176" s="3">
        <v>5.2779999999999996</v>
      </c>
      <c r="E176" s="3">
        <v>2.641</v>
      </c>
      <c r="F176" s="3">
        <v>5.1820000000000004</v>
      </c>
      <c r="G176" s="3">
        <v>5.1849999999999996</v>
      </c>
      <c r="H176" s="4">
        <v>3</v>
      </c>
    </row>
    <row r="177" spans="1:8" x14ac:dyDescent="0.25">
      <c r="A177" s="3">
        <v>10.8</v>
      </c>
      <c r="B177" s="3">
        <v>12.57</v>
      </c>
      <c r="C177" s="3">
        <v>0.85899999999999999</v>
      </c>
      <c r="D177" s="3">
        <v>4.9809999999999999</v>
      </c>
      <c r="E177" s="3">
        <v>2.8210000000000002</v>
      </c>
      <c r="F177" s="3">
        <v>4.7729999999999997</v>
      </c>
      <c r="G177" s="3">
        <v>5.0629999999999997</v>
      </c>
      <c r="H177" s="4">
        <v>3</v>
      </c>
    </row>
    <row r="178" spans="1:8" x14ac:dyDescent="0.25">
      <c r="A178" s="3">
        <v>11.26</v>
      </c>
      <c r="B178" s="3">
        <v>13.01</v>
      </c>
      <c r="C178" s="3">
        <v>0.83550000000000002</v>
      </c>
      <c r="D178" s="3">
        <v>5.1859999999999999</v>
      </c>
      <c r="E178" s="3">
        <v>2.71</v>
      </c>
      <c r="F178" s="3">
        <v>5.335</v>
      </c>
      <c r="G178" s="3">
        <v>5.0919999999999996</v>
      </c>
      <c r="H178" s="4">
        <v>3</v>
      </c>
    </row>
    <row r="179" spans="1:8" x14ac:dyDescent="0.25">
      <c r="A179" s="3">
        <v>10.74</v>
      </c>
      <c r="B179" s="3">
        <v>12.73</v>
      </c>
      <c r="C179" s="3">
        <v>0.83289999999999997</v>
      </c>
      <c r="D179" s="3">
        <v>5.1449999999999996</v>
      </c>
      <c r="E179" s="3">
        <v>2.6419999999999999</v>
      </c>
      <c r="F179" s="3">
        <v>4.702</v>
      </c>
      <c r="G179" s="3">
        <v>4.9630000000000001</v>
      </c>
      <c r="H179" s="4">
        <v>3</v>
      </c>
    </row>
    <row r="180" spans="1:8" x14ac:dyDescent="0.25">
      <c r="A180" s="3">
        <v>11.48</v>
      </c>
      <c r="B180" s="3">
        <v>13.05</v>
      </c>
      <c r="C180" s="3">
        <v>0.84730000000000005</v>
      </c>
      <c r="D180" s="3">
        <v>5.18</v>
      </c>
      <c r="E180" s="3">
        <v>2.758</v>
      </c>
      <c r="F180" s="3">
        <v>5.8760000000000003</v>
      </c>
      <c r="G180" s="3">
        <v>5.0019999999999998</v>
      </c>
      <c r="H180" s="4">
        <v>3</v>
      </c>
    </row>
    <row r="181" spans="1:8" x14ac:dyDescent="0.25">
      <c r="A181" s="3">
        <v>12.21</v>
      </c>
      <c r="B181" s="3">
        <v>13.47</v>
      </c>
      <c r="C181" s="3">
        <v>0.84530000000000005</v>
      </c>
      <c r="D181" s="3">
        <v>5.3570000000000002</v>
      </c>
      <c r="E181" s="3">
        <v>2.8929999999999998</v>
      </c>
      <c r="F181" s="3">
        <v>1.661</v>
      </c>
      <c r="G181" s="3">
        <v>5.1779999999999999</v>
      </c>
      <c r="H181" s="4">
        <v>3</v>
      </c>
    </row>
    <row r="182" spans="1:8" x14ac:dyDescent="0.25">
      <c r="A182" s="3">
        <v>11.41</v>
      </c>
      <c r="B182" s="3">
        <v>12.95</v>
      </c>
      <c r="C182" s="3">
        <v>0.85599999999999998</v>
      </c>
      <c r="D182" s="3">
        <v>5.09</v>
      </c>
      <c r="E182" s="3">
        <v>2.7749999999999999</v>
      </c>
      <c r="F182" s="3">
        <v>4.9569999999999999</v>
      </c>
      <c r="G182" s="3">
        <v>4.8250000000000002</v>
      </c>
      <c r="H182" s="4">
        <v>3</v>
      </c>
    </row>
    <row r="183" spans="1:8" x14ac:dyDescent="0.25">
      <c r="A183" s="3">
        <v>12.46</v>
      </c>
      <c r="B183" s="3">
        <v>13.41</v>
      </c>
      <c r="C183" s="3">
        <v>0.87060000000000004</v>
      </c>
      <c r="D183" s="3">
        <v>5.2359999999999998</v>
      </c>
      <c r="E183" s="3">
        <v>3.0169999999999999</v>
      </c>
      <c r="F183" s="3">
        <v>4.9870000000000001</v>
      </c>
      <c r="G183" s="3">
        <v>5.1470000000000002</v>
      </c>
      <c r="H183" s="4">
        <v>3</v>
      </c>
    </row>
    <row r="184" spans="1:8" x14ac:dyDescent="0.25">
      <c r="A184" s="3">
        <v>12.19</v>
      </c>
      <c r="B184" s="3">
        <v>13.36</v>
      </c>
      <c r="C184" s="3">
        <v>0.8579</v>
      </c>
      <c r="D184" s="3">
        <v>5.24</v>
      </c>
      <c r="E184" s="3">
        <v>2.9089999999999998</v>
      </c>
      <c r="F184" s="3">
        <v>4.8570000000000002</v>
      </c>
      <c r="G184" s="3">
        <v>5.1580000000000004</v>
      </c>
      <c r="H184" s="4">
        <v>3</v>
      </c>
    </row>
    <row r="185" spans="1:8" x14ac:dyDescent="0.25">
      <c r="A185" s="3">
        <v>11.65</v>
      </c>
      <c r="B185" s="3">
        <v>13.07</v>
      </c>
      <c r="C185" s="3">
        <v>0.85750000000000004</v>
      </c>
      <c r="D185" s="3">
        <v>5.1079999999999997</v>
      </c>
      <c r="E185" s="3">
        <v>2.85</v>
      </c>
      <c r="F185" s="3">
        <v>5.2089999999999996</v>
      </c>
      <c r="G185" s="3">
        <v>5.1349999999999998</v>
      </c>
      <c r="H185" s="4">
        <v>3</v>
      </c>
    </row>
    <row r="186" spans="1:8" x14ac:dyDescent="0.25">
      <c r="A186" s="3">
        <v>12.89</v>
      </c>
      <c r="B186" s="3">
        <v>13.77</v>
      </c>
      <c r="C186" s="3">
        <v>0.85409999999999997</v>
      </c>
      <c r="D186" s="3">
        <v>5.4950000000000001</v>
      </c>
      <c r="E186" s="3">
        <v>3.0259999999999998</v>
      </c>
      <c r="F186" s="3">
        <v>6.1849999999999996</v>
      </c>
      <c r="G186" s="3">
        <v>5.3159999999999998</v>
      </c>
      <c r="H186" s="4">
        <v>3</v>
      </c>
    </row>
    <row r="187" spans="1:8" x14ac:dyDescent="0.25">
      <c r="A187" s="3">
        <v>11.56</v>
      </c>
      <c r="B187" s="3">
        <v>13.31</v>
      </c>
      <c r="C187" s="3">
        <v>0.81979999999999997</v>
      </c>
      <c r="D187" s="3">
        <v>5.3630000000000004</v>
      </c>
      <c r="E187" s="3">
        <v>2.6829999999999998</v>
      </c>
      <c r="F187" s="3">
        <v>4.0620000000000003</v>
      </c>
      <c r="G187" s="3">
        <v>5.1820000000000004</v>
      </c>
      <c r="H187" s="4">
        <v>3</v>
      </c>
    </row>
    <row r="188" spans="1:8" x14ac:dyDescent="0.25">
      <c r="A188" s="3">
        <v>11.81</v>
      </c>
      <c r="B188" s="3">
        <v>13.45</v>
      </c>
      <c r="C188" s="3">
        <v>0.81979999999999997</v>
      </c>
      <c r="D188" s="3">
        <v>5.4130000000000003</v>
      </c>
      <c r="E188" s="3">
        <v>2.7160000000000002</v>
      </c>
      <c r="F188" s="3">
        <v>4.8979999999999997</v>
      </c>
      <c r="G188" s="3">
        <v>5.3520000000000003</v>
      </c>
      <c r="H188" s="4">
        <v>3</v>
      </c>
    </row>
    <row r="189" spans="1:8" x14ac:dyDescent="0.25">
      <c r="A189" s="3">
        <v>10.91</v>
      </c>
      <c r="B189" s="3">
        <v>12.8</v>
      </c>
      <c r="C189" s="3">
        <v>0.83720000000000006</v>
      </c>
      <c r="D189" s="3">
        <v>5.0880000000000001</v>
      </c>
      <c r="E189" s="3">
        <v>2.6749999999999998</v>
      </c>
      <c r="F189" s="3">
        <v>4.1790000000000003</v>
      </c>
      <c r="G189" s="3">
        <v>4.9560000000000004</v>
      </c>
      <c r="H189" s="4">
        <v>3</v>
      </c>
    </row>
    <row r="190" spans="1:8" x14ac:dyDescent="0.25">
      <c r="A190" s="3">
        <v>11.23</v>
      </c>
      <c r="B190" s="3">
        <v>12.82</v>
      </c>
      <c r="C190" s="3">
        <v>0.85940000000000005</v>
      </c>
      <c r="D190" s="3">
        <v>5.0890000000000004</v>
      </c>
      <c r="E190" s="3">
        <v>2.8210000000000002</v>
      </c>
      <c r="F190" s="3">
        <v>7.524</v>
      </c>
      <c r="G190" s="3">
        <v>4.9569999999999999</v>
      </c>
      <c r="H190" s="4">
        <v>3</v>
      </c>
    </row>
    <row r="191" spans="1:8" x14ac:dyDescent="0.25">
      <c r="A191" s="3">
        <v>10.59</v>
      </c>
      <c r="B191" s="3">
        <v>12.41</v>
      </c>
      <c r="C191" s="3">
        <v>0.86480000000000001</v>
      </c>
      <c r="D191" s="3">
        <v>4.899</v>
      </c>
      <c r="E191" s="3">
        <v>2.7869999999999999</v>
      </c>
      <c r="F191" s="3">
        <v>4.9749999999999996</v>
      </c>
      <c r="G191" s="3">
        <v>4.7939999999999996</v>
      </c>
      <c r="H191" s="4">
        <v>3</v>
      </c>
    </row>
    <row r="192" spans="1:8" x14ac:dyDescent="0.25">
      <c r="A192" s="3">
        <v>10.93</v>
      </c>
      <c r="B192" s="3">
        <v>12.8</v>
      </c>
      <c r="C192" s="3">
        <v>0.83899999999999997</v>
      </c>
      <c r="D192" s="3">
        <v>5.0460000000000003</v>
      </c>
      <c r="E192" s="3">
        <v>2.7170000000000001</v>
      </c>
      <c r="F192" s="3">
        <v>5.3979999999999997</v>
      </c>
      <c r="G192" s="3">
        <v>5.0449999999999999</v>
      </c>
      <c r="H192" s="4">
        <v>3</v>
      </c>
    </row>
    <row r="193" spans="1:8" x14ac:dyDescent="0.25">
      <c r="A193" s="3">
        <v>11.27</v>
      </c>
      <c r="B193" s="3">
        <v>12.86</v>
      </c>
      <c r="C193" s="3">
        <v>0.85629999999999995</v>
      </c>
      <c r="D193" s="3">
        <v>5.0910000000000002</v>
      </c>
      <c r="E193" s="3">
        <v>2.8039999999999998</v>
      </c>
      <c r="F193" s="3">
        <v>3.9849999999999999</v>
      </c>
      <c r="G193" s="3">
        <v>5.0010000000000003</v>
      </c>
      <c r="H193" s="4">
        <v>3</v>
      </c>
    </row>
    <row r="194" spans="1:8" x14ac:dyDescent="0.25">
      <c r="A194" s="3">
        <v>11.87</v>
      </c>
      <c r="B194" s="3">
        <v>13.02</v>
      </c>
      <c r="C194" s="3">
        <v>0.87949999999999995</v>
      </c>
      <c r="D194" s="3">
        <v>5.1319999999999997</v>
      </c>
      <c r="E194" s="3">
        <v>2.9529999999999998</v>
      </c>
      <c r="F194" s="3">
        <v>3.597</v>
      </c>
      <c r="G194" s="3">
        <v>5.1319999999999997</v>
      </c>
      <c r="H194" s="4">
        <v>3</v>
      </c>
    </row>
    <row r="195" spans="1:8" x14ac:dyDescent="0.25">
      <c r="A195" s="3">
        <v>10.82</v>
      </c>
      <c r="B195" s="3">
        <v>12.83</v>
      </c>
      <c r="C195" s="3">
        <v>0.8256</v>
      </c>
      <c r="D195" s="3">
        <v>5.18</v>
      </c>
      <c r="E195" s="3">
        <v>2.63</v>
      </c>
      <c r="F195" s="3">
        <v>4.8529999999999998</v>
      </c>
      <c r="G195" s="3">
        <v>5.0890000000000004</v>
      </c>
      <c r="H195" s="4">
        <v>3</v>
      </c>
    </row>
    <row r="196" spans="1:8" x14ac:dyDescent="0.25">
      <c r="A196" s="3">
        <v>12.11</v>
      </c>
      <c r="B196" s="3">
        <v>13.27</v>
      </c>
      <c r="C196" s="3">
        <v>0.8639</v>
      </c>
      <c r="D196" s="3">
        <v>5.2359999999999998</v>
      </c>
      <c r="E196" s="3">
        <v>2.9750000000000001</v>
      </c>
      <c r="F196" s="3">
        <v>4.1319999999999997</v>
      </c>
      <c r="G196" s="3">
        <v>5.0119999999999996</v>
      </c>
      <c r="H196" s="4">
        <v>3</v>
      </c>
    </row>
    <row r="197" spans="1:8" x14ac:dyDescent="0.25">
      <c r="A197" s="3">
        <v>12.8</v>
      </c>
      <c r="B197" s="3">
        <v>13.47</v>
      </c>
      <c r="C197" s="3">
        <v>0.88600000000000001</v>
      </c>
      <c r="D197" s="3">
        <v>5.16</v>
      </c>
      <c r="E197" s="3">
        <v>3.1259999999999999</v>
      </c>
      <c r="F197" s="3">
        <v>4.8730000000000002</v>
      </c>
      <c r="G197" s="3">
        <v>4.9139999999999997</v>
      </c>
      <c r="H197" s="4">
        <v>3</v>
      </c>
    </row>
    <row r="198" spans="1:8" x14ac:dyDescent="0.25">
      <c r="A198" s="3">
        <v>12.79</v>
      </c>
      <c r="B198" s="3">
        <v>13.53</v>
      </c>
      <c r="C198" s="3">
        <v>0.87860000000000005</v>
      </c>
      <c r="D198" s="3">
        <v>5.2240000000000002</v>
      </c>
      <c r="E198" s="3">
        <v>3.0539999999999998</v>
      </c>
      <c r="F198" s="3">
        <v>5.4829999999999997</v>
      </c>
      <c r="G198" s="3">
        <v>4.9580000000000002</v>
      </c>
      <c r="H198" s="4">
        <v>3</v>
      </c>
    </row>
    <row r="199" spans="1:8" x14ac:dyDescent="0.25">
      <c r="A199" s="3">
        <v>13.37</v>
      </c>
      <c r="B199" s="3">
        <v>13.78</v>
      </c>
      <c r="C199" s="3">
        <v>0.88490000000000002</v>
      </c>
      <c r="D199" s="3">
        <v>5.32</v>
      </c>
      <c r="E199" s="3">
        <v>3.1280000000000001</v>
      </c>
      <c r="F199" s="3">
        <v>4.67</v>
      </c>
      <c r="G199" s="3">
        <v>5.0910000000000002</v>
      </c>
      <c r="H199" s="4">
        <v>3</v>
      </c>
    </row>
    <row r="200" spans="1:8" x14ac:dyDescent="0.25">
      <c r="A200" s="3">
        <v>12.62</v>
      </c>
      <c r="B200" s="3">
        <v>13.67</v>
      </c>
      <c r="C200" s="3">
        <v>0.84809999999999997</v>
      </c>
      <c r="D200" s="3">
        <v>5.41</v>
      </c>
      <c r="E200" s="3">
        <v>2.911</v>
      </c>
      <c r="F200" s="3">
        <v>3.306</v>
      </c>
      <c r="G200" s="3">
        <v>5.2309999999999999</v>
      </c>
      <c r="H200" s="4">
        <v>3</v>
      </c>
    </row>
    <row r="201" spans="1:8" x14ac:dyDescent="0.25">
      <c r="A201" s="3">
        <v>12.76</v>
      </c>
      <c r="B201" s="3">
        <v>13.38</v>
      </c>
      <c r="C201" s="3">
        <v>0.89639999999999997</v>
      </c>
      <c r="D201" s="3">
        <v>5.0730000000000004</v>
      </c>
      <c r="E201" s="3">
        <v>3.1549999999999998</v>
      </c>
      <c r="F201" s="3">
        <v>2.8279999999999998</v>
      </c>
      <c r="G201" s="3">
        <v>4.83</v>
      </c>
      <c r="H201" s="4">
        <v>3</v>
      </c>
    </row>
    <row r="202" spans="1:8" x14ac:dyDescent="0.25">
      <c r="A202" s="3">
        <v>12.38</v>
      </c>
      <c r="B202" s="3">
        <v>13.44</v>
      </c>
      <c r="C202" s="3">
        <v>0.8609</v>
      </c>
      <c r="D202" s="3">
        <v>5.2190000000000003</v>
      </c>
      <c r="E202" s="3">
        <v>2.9889999999999999</v>
      </c>
      <c r="F202" s="3">
        <v>5.4720000000000004</v>
      </c>
      <c r="G202" s="3">
        <v>5.0449999999999999</v>
      </c>
      <c r="H202" s="4">
        <v>3</v>
      </c>
    </row>
    <row r="203" spans="1:8" x14ac:dyDescent="0.25">
      <c r="A203" s="3">
        <v>12.67</v>
      </c>
      <c r="B203" s="3">
        <v>13.32</v>
      </c>
      <c r="C203" s="3">
        <v>0.89770000000000005</v>
      </c>
      <c r="D203" s="3">
        <v>4.984</v>
      </c>
      <c r="E203" s="3">
        <v>3.1349999999999998</v>
      </c>
      <c r="F203" s="3">
        <v>2.2999999999999998</v>
      </c>
      <c r="G203" s="3">
        <v>4.7450000000000001</v>
      </c>
      <c r="H203" s="4">
        <v>3</v>
      </c>
    </row>
    <row r="204" spans="1:8" x14ac:dyDescent="0.25">
      <c r="A204" s="3">
        <v>11.18</v>
      </c>
      <c r="B204" s="3">
        <v>12.72</v>
      </c>
      <c r="C204" s="3">
        <v>0.86799999999999999</v>
      </c>
      <c r="D204" s="3">
        <v>5.0090000000000003</v>
      </c>
      <c r="E204" s="3">
        <v>2.81</v>
      </c>
      <c r="F204" s="3">
        <v>4.0510000000000002</v>
      </c>
      <c r="G204" s="3">
        <v>4.8280000000000003</v>
      </c>
      <c r="H204" s="4">
        <v>3</v>
      </c>
    </row>
    <row r="205" spans="1:8" x14ac:dyDescent="0.25">
      <c r="A205" s="3">
        <v>12.7</v>
      </c>
      <c r="B205" s="3">
        <v>13.41</v>
      </c>
      <c r="C205" s="3">
        <v>0.88739999999999997</v>
      </c>
      <c r="D205" s="3">
        <v>5.1829999999999998</v>
      </c>
      <c r="E205" s="3">
        <v>3.0910000000000002</v>
      </c>
      <c r="F205" s="3">
        <v>8.4559999999999995</v>
      </c>
      <c r="G205" s="3">
        <v>5</v>
      </c>
      <c r="H205" s="4">
        <v>3</v>
      </c>
    </row>
    <row r="206" spans="1:8" x14ac:dyDescent="0.25">
      <c r="A206" s="3">
        <v>12.37</v>
      </c>
      <c r="B206" s="3">
        <v>13.47</v>
      </c>
      <c r="C206" s="3">
        <v>0.85670000000000002</v>
      </c>
      <c r="D206" s="3">
        <v>5.2039999999999997</v>
      </c>
      <c r="E206" s="3">
        <v>2.96</v>
      </c>
      <c r="F206" s="3">
        <v>3.919</v>
      </c>
      <c r="G206" s="3">
        <v>5.0010000000000003</v>
      </c>
      <c r="H206" s="4">
        <v>3</v>
      </c>
    </row>
    <row r="207" spans="1:8" x14ac:dyDescent="0.25">
      <c r="A207" s="3">
        <v>12.19</v>
      </c>
      <c r="B207" s="3">
        <v>13.2</v>
      </c>
      <c r="C207" s="3">
        <v>0.87829999999999997</v>
      </c>
      <c r="D207" s="3">
        <v>5.1369999999999996</v>
      </c>
      <c r="E207" s="3">
        <v>2.9809999999999999</v>
      </c>
      <c r="F207" s="3">
        <v>3.6309999999999998</v>
      </c>
      <c r="G207" s="3">
        <v>4.87</v>
      </c>
      <c r="H207" s="4">
        <v>3</v>
      </c>
    </row>
    <row r="208" spans="1:8" x14ac:dyDescent="0.25">
      <c r="A208" s="3">
        <v>11.23</v>
      </c>
      <c r="B208" s="3">
        <v>12.88</v>
      </c>
      <c r="C208" s="3">
        <v>0.85109999999999997</v>
      </c>
      <c r="D208" s="3">
        <v>5.14</v>
      </c>
      <c r="E208" s="3">
        <v>2.7949999999999999</v>
      </c>
      <c r="F208" s="3">
        <v>4.3250000000000002</v>
      </c>
      <c r="G208" s="3">
        <v>5.0030000000000001</v>
      </c>
      <c r="H208" s="4">
        <v>3</v>
      </c>
    </row>
    <row r="209" spans="1:8" x14ac:dyDescent="0.25">
      <c r="A209" s="3">
        <v>13.2</v>
      </c>
      <c r="B209" s="3">
        <v>13.66</v>
      </c>
      <c r="C209" s="3">
        <v>0.88829999999999998</v>
      </c>
      <c r="D209" s="3">
        <v>5.2359999999999998</v>
      </c>
      <c r="E209" s="3">
        <v>3.2320000000000002</v>
      </c>
      <c r="F209" s="3">
        <v>8.3149999999999995</v>
      </c>
      <c r="G209" s="3">
        <v>5.056</v>
      </c>
      <c r="H209" s="4">
        <v>3</v>
      </c>
    </row>
    <row r="210" spans="1:8" x14ac:dyDescent="0.25">
      <c r="A210" s="3">
        <v>11.84</v>
      </c>
      <c r="B210" s="3">
        <v>13.21</v>
      </c>
      <c r="C210" s="3">
        <v>0.85209999999999997</v>
      </c>
      <c r="D210" s="3">
        <v>5.1749999999999998</v>
      </c>
      <c r="E210" s="3">
        <v>2.8359999999999999</v>
      </c>
      <c r="F210" s="3">
        <v>3.5979999999999999</v>
      </c>
      <c r="G210" s="3">
        <v>5.0439999999999996</v>
      </c>
      <c r="H210" s="4">
        <v>3</v>
      </c>
    </row>
    <row r="211" spans="1:8" x14ac:dyDescent="0.25">
      <c r="A211" s="3">
        <v>12.3</v>
      </c>
      <c r="B211" s="3">
        <v>13.34</v>
      </c>
      <c r="C211" s="3">
        <v>0.86839999999999995</v>
      </c>
      <c r="D211" s="3">
        <v>5.2430000000000003</v>
      </c>
      <c r="E211" s="3">
        <v>2.9740000000000002</v>
      </c>
      <c r="F211" s="3">
        <v>5.6369999999999996</v>
      </c>
      <c r="G211" s="3">
        <v>5.0629999999999997</v>
      </c>
      <c r="H211" s="4">
        <v>3</v>
      </c>
    </row>
  </sheetData>
  <pageMargins left="0.7" right="0.7" top="0.78740157499999996" bottom="0.78740157499999996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CC8728-2D9B-4F2F-9050-F1064F78F325}">
  <sheetPr codeName="Tabelle2"/>
  <dimension ref="B1:L9"/>
  <sheetViews>
    <sheetView showGridLines="0" tabSelected="1" zoomScale="145" zoomScaleNormal="145" workbookViewId="0">
      <selection activeCell="E17" sqref="E17"/>
    </sheetView>
  </sheetViews>
  <sheetFormatPr baseColWidth="10" defaultRowHeight="15" x14ac:dyDescent="0.25"/>
  <cols>
    <col min="2" max="2" width="13.28515625" bestFit="1" customWidth="1"/>
  </cols>
  <sheetData>
    <row r="1" spans="2:12" x14ac:dyDescent="0.25">
      <c r="F1" s="5">
        <v>1</v>
      </c>
      <c r="G1" s="5">
        <v>2</v>
      </c>
      <c r="H1" s="5">
        <v>3</v>
      </c>
      <c r="I1" s="5">
        <v>4</v>
      </c>
      <c r="J1" s="5">
        <v>5</v>
      </c>
      <c r="K1" s="5">
        <v>6</v>
      </c>
      <c r="L1" s="5">
        <v>7</v>
      </c>
    </row>
    <row r="2" spans="2:12" x14ac:dyDescent="0.25">
      <c r="B2" t="s">
        <v>57</v>
      </c>
      <c r="C2" s="6">
        <f ca="1">RANDBETWEEN(2,COUNT(raw!A2:A211))</f>
        <v>151</v>
      </c>
      <c r="E2" t="s">
        <v>58</v>
      </c>
      <c r="F2" cm="1">
        <f t="array" aca="1" ref="F2" ca="1">INDEX(rawData,$C$2,F1)</f>
        <v>11.83</v>
      </c>
      <c r="G2" cm="1">
        <f t="array" aca="1" ref="G2" ca="1">INDEX(rawData,$C$2,G1)</f>
        <v>13.23</v>
      </c>
      <c r="H2" cm="1">
        <f t="array" aca="1" ref="H2" ca="1">INDEX(rawData,$C$2,H1)</f>
        <v>0.84960000000000002</v>
      </c>
      <c r="I2" cm="1">
        <f t="array" aca="1" ref="I2" ca="1">INDEX(rawData,$C$2,I1)</f>
        <v>5.2629999999999999</v>
      </c>
      <c r="J2" cm="1">
        <f t="array" aca="1" ref="J2" ca="1">INDEX(rawData,$C$2,J1)</f>
        <v>2.84</v>
      </c>
      <c r="K2" cm="1">
        <f t="array" aca="1" ref="K2" ca="1">INDEX(rawData,$C$2,K1)</f>
        <v>5.1950000000000003</v>
      </c>
      <c r="L2" cm="1">
        <f t="array" aca="1" ref="L2" ca="1">INDEX(rawData,$C$2,L1)</f>
        <v>5.3070000000000004</v>
      </c>
    </row>
    <row r="3" spans="2:12" x14ac:dyDescent="0.25">
      <c r="B3" t="s">
        <v>56</v>
      </c>
      <c r="C3" s="6" cm="1">
        <f t="array" aca="1" ref="C3" ca="1">INDEX(rawData,$C$2,8)</f>
        <v>3</v>
      </c>
    </row>
    <row r="4" spans="2:12" x14ac:dyDescent="0.25">
      <c r="B4" t="s">
        <v>55</v>
      </c>
      <c r="C4" s="6">
        <f ca="1">MAX(guesses)</f>
        <v>3</v>
      </c>
    </row>
    <row r="7" spans="2:12" x14ac:dyDescent="0.25">
      <c r="B7" t="s">
        <v>52</v>
      </c>
      <c r="C7">
        <v>100000</v>
      </c>
    </row>
    <row r="8" spans="2:12" x14ac:dyDescent="0.25">
      <c r="B8" t="s">
        <v>53</v>
      </c>
      <c r="C8">
        <v>80293</v>
      </c>
      <c r="D8" s="9">
        <f>IFERROR(count_correct/iterations,0)</f>
        <v>0.80293000000000003</v>
      </c>
    </row>
    <row r="9" spans="2:12" x14ac:dyDescent="0.25">
      <c r="B9" t="s">
        <v>54</v>
      </c>
      <c r="C9">
        <v>19707</v>
      </c>
      <c r="D9" s="9">
        <f>IFERROR(1-$D$8,0)</f>
        <v>0.19706999999999997</v>
      </c>
    </row>
  </sheetData>
  <dataConsolidate/>
  <pageMargins left="0.7" right="0.7" top="0.78740157499999996" bottom="0.78740157499999996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425" r:id="rId4" name="LearnButton">
          <controlPr defaultSize="0" autoLine="0" autoPict="0" r:id="rId5">
            <anchor moveWithCells="1">
              <from>
                <xdr:col>5</xdr:col>
                <xdr:colOff>0</xdr:colOff>
                <xdr:row>3</xdr:row>
                <xdr:rowOff>0</xdr:rowOff>
              </from>
              <to>
                <xdr:col>7</xdr:col>
                <xdr:colOff>0</xdr:colOff>
                <xdr:row>5</xdr:row>
                <xdr:rowOff>0</xdr:rowOff>
              </to>
            </anchor>
          </controlPr>
        </control>
      </mc:Choice>
      <mc:Fallback>
        <control shapeId="3425" r:id="rId4" name="LearnButton"/>
      </mc:Fallback>
    </mc:AlternateContent>
    <mc:AlternateContent xmlns:mc="http://schemas.openxmlformats.org/markup-compatibility/2006">
      <mc:Choice Requires="x14">
        <control shapeId="3426" r:id="rId6" name="ResetButton">
          <controlPr defaultSize="0" autoLine="0" autoPict="0" r:id="rId7">
            <anchor moveWithCells="1">
              <from>
                <xdr:col>5</xdr:col>
                <xdr:colOff>0</xdr:colOff>
                <xdr:row>6</xdr:row>
                <xdr:rowOff>0</xdr:rowOff>
              </from>
              <to>
                <xdr:col>7</xdr:col>
                <xdr:colOff>0</xdr:colOff>
                <xdr:row>8</xdr:row>
                <xdr:rowOff>0</xdr:rowOff>
              </to>
            </anchor>
          </controlPr>
        </control>
      </mc:Choice>
      <mc:Fallback>
        <control shapeId="3426" r:id="rId6" name="ResetButton"/>
      </mc:Fallback>
    </mc:AlternateContent>
    <mc:AlternateContent xmlns:mc="http://schemas.openxmlformats.org/markup-compatibility/2006">
      <mc:Choice Requires="x14">
        <control shapeId="3427" r:id="rId8" name="RandomBiasButton">
          <controlPr defaultSize="0" autoLine="0" autoPict="0" r:id="rId9">
            <anchor moveWithCells="1">
              <from>
                <xdr:col>7</xdr:col>
                <xdr:colOff>76200</xdr:colOff>
                <xdr:row>2</xdr:row>
                <xdr:rowOff>180975</xdr:rowOff>
              </from>
              <to>
                <xdr:col>9</xdr:col>
                <xdr:colOff>0</xdr:colOff>
                <xdr:row>5</xdr:row>
                <xdr:rowOff>0</xdr:rowOff>
              </to>
            </anchor>
          </controlPr>
        </control>
      </mc:Choice>
      <mc:Fallback>
        <control shapeId="3427" r:id="rId8" name="RandomBiasButton"/>
      </mc:Fallback>
    </mc:AlternateContent>
    <mc:AlternateContent xmlns:mc="http://schemas.openxmlformats.org/markup-compatibility/2006">
      <mc:Choice Requires="x14">
        <control shapeId="3428" r:id="rId10" name="RandomWeightsButton">
          <controlPr defaultSize="0" autoLine="0" r:id="rId11">
            <anchor moveWithCells="1">
              <from>
                <xdr:col>7</xdr:col>
                <xdr:colOff>104775</xdr:colOff>
                <xdr:row>6</xdr:row>
                <xdr:rowOff>0</xdr:rowOff>
              </from>
              <to>
                <xdr:col>9</xdr:col>
                <xdr:colOff>0</xdr:colOff>
                <xdr:row>8</xdr:row>
                <xdr:rowOff>0</xdr:rowOff>
              </to>
            </anchor>
          </controlPr>
        </control>
      </mc:Choice>
      <mc:Fallback>
        <control shapeId="3428" r:id="rId10" name="RandomWeightsButton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F34AF7-2229-465C-8A66-D2EE06514DE5}">
  <sheetPr codeName="Tabelle3"/>
  <dimension ref="B2:Z18"/>
  <sheetViews>
    <sheetView showGridLines="0" zoomScale="115" zoomScaleNormal="115" workbookViewId="0">
      <selection activeCell="C13" sqref="C13"/>
    </sheetView>
  </sheetViews>
  <sheetFormatPr baseColWidth="10" defaultRowHeight="15" x14ac:dyDescent="0.25"/>
  <sheetData>
    <row r="2" spans="2:26" x14ac:dyDescent="0.25">
      <c r="B2" t="s">
        <v>59</v>
      </c>
      <c r="G2" t="s">
        <v>41</v>
      </c>
      <c r="H2">
        <v>0.1</v>
      </c>
      <c r="P2" t="s">
        <v>31</v>
      </c>
    </row>
    <row r="3" spans="2:26" x14ac:dyDescent="0.25">
      <c r="B3">
        <f>MAX(rawData)</f>
        <v>21.18</v>
      </c>
    </row>
    <row r="5" spans="2:26" x14ac:dyDescent="0.25">
      <c r="B5" t="s">
        <v>8</v>
      </c>
      <c r="C5" t="s">
        <v>25</v>
      </c>
      <c r="D5" t="s">
        <v>26</v>
      </c>
      <c r="E5" t="s">
        <v>36</v>
      </c>
      <c r="G5" t="s">
        <v>9</v>
      </c>
      <c r="H5" t="s">
        <v>11</v>
      </c>
      <c r="I5" t="s">
        <v>12</v>
      </c>
      <c r="J5" t="s">
        <v>13</v>
      </c>
      <c r="K5" t="s">
        <v>14</v>
      </c>
      <c r="L5" t="s">
        <v>15</v>
      </c>
      <c r="M5" t="s">
        <v>16</v>
      </c>
      <c r="N5" t="s">
        <v>17</v>
      </c>
      <c r="P5" s="6" t="s">
        <v>20</v>
      </c>
      <c r="Q5" s="6" t="s">
        <v>24</v>
      </c>
      <c r="R5" s="6" t="s">
        <v>25</v>
      </c>
      <c r="S5" s="6" t="s">
        <v>26</v>
      </c>
      <c r="T5" s="6" t="s">
        <v>27</v>
      </c>
      <c r="U5" s="7" t="s">
        <v>28</v>
      </c>
      <c r="V5" s="7" t="s">
        <v>29</v>
      </c>
      <c r="W5" s="7" t="s">
        <v>20</v>
      </c>
      <c r="X5" s="7" t="s">
        <v>60</v>
      </c>
      <c r="Y5" s="7" t="s">
        <v>61</v>
      </c>
      <c r="Z5" s="7" t="s">
        <v>30</v>
      </c>
    </row>
    <row r="6" spans="2:26" x14ac:dyDescent="0.25">
      <c r="B6">
        <f t="array" aca="1" ref="B6:B12" ca="1">TRANSPOSE(pred!F2:L2)/$B$3</f>
        <v>0.55854579792256842</v>
      </c>
      <c r="C6">
        <v>0</v>
      </c>
      <c r="D6">
        <f ca="1">B6+C6</f>
        <v>0.55854579792256842</v>
      </c>
      <c r="E6">
        <f ca="1">1/(1+EXP(-D6))</f>
        <v>0.6361159992603852</v>
      </c>
      <c r="G6" t="s">
        <v>10</v>
      </c>
      <c r="H6">
        <v>0.46086911935697683</v>
      </c>
      <c r="I6">
        <v>0.88090929597533651</v>
      </c>
      <c r="J6">
        <v>1.1520914814520271</v>
      </c>
      <c r="K6">
        <v>0.68961005074632564</v>
      </c>
      <c r="L6">
        <v>0.96137490323059338</v>
      </c>
      <c r="M6">
        <v>0.47876370012257868</v>
      </c>
      <c r="N6">
        <v>0.64489695317134488</v>
      </c>
      <c r="P6" s="6" t="s">
        <v>21</v>
      </c>
      <c r="Q6">
        <f t="array" aca="1" ref="Q6:Q8" ca="1">MMULT(H6:N8,E6:E12)</f>
        <v>2.9859994220489354</v>
      </c>
      <c r="R6">
        <v>0.54127284644491802</v>
      </c>
      <c r="S6">
        <f ca="1">R6+Q6</f>
        <v>3.5272722684938533</v>
      </c>
      <c r="T6">
        <f ca="1">1/(1+EXP(-S6))</f>
        <v>0.97145386609897089</v>
      </c>
      <c r="U6" s="8">
        <f ca="1">IF(T6=MAX($T$6:$T$8),1,0)</f>
        <v>0</v>
      </c>
      <c r="V6" s="8">
        <v>1</v>
      </c>
      <c r="W6" s="8">
        <f ca="1">V6*U6</f>
        <v>0</v>
      </c>
      <c r="X6" s="8">
        <f ca="1">IF(V6=target,1,0)</f>
        <v>0</v>
      </c>
      <c r="Y6" s="8">
        <f ca="1">IF(V6=target,1,0)</f>
        <v>0</v>
      </c>
      <c r="Z6" s="8">
        <f ca="1">0.5*(Y6-W6)^2</f>
        <v>0</v>
      </c>
    </row>
    <row r="7" spans="2:26" x14ac:dyDescent="0.25">
      <c r="B7">
        <f ca="1"/>
        <v>0.62464589235127477</v>
      </c>
      <c r="C7">
        <v>0</v>
      </c>
      <c r="D7">
        <f t="shared" ref="D7:D12" ca="1" si="0">B7+C7</f>
        <v>0.62464589235127477</v>
      </c>
      <c r="E7">
        <f t="shared" ref="E7:E12" ca="1" si="1">1/(1+EXP(-D7))</f>
        <v>0.65127444544707092</v>
      </c>
      <c r="G7" t="s">
        <v>18</v>
      </c>
      <c r="H7">
        <v>1.244011800872683</v>
      </c>
      <c r="I7">
        <v>0.75745237068477467</v>
      </c>
      <c r="J7">
        <v>0.44281650769159731</v>
      </c>
      <c r="K7">
        <v>0.43522040711472876</v>
      </c>
      <c r="L7">
        <v>0.18376722504572537</v>
      </c>
      <c r="M7">
        <v>0.72870288176056197</v>
      </c>
      <c r="N7">
        <v>1.2682185414462821</v>
      </c>
      <c r="P7" s="6" t="s">
        <v>22</v>
      </c>
      <c r="Q7">
        <f ca="1"/>
        <v>2.9749891240561488</v>
      </c>
      <c r="R7">
        <v>0.53691691925521112</v>
      </c>
      <c r="S7">
        <f t="shared" ref="S7:S8" ca="1" si="2">R7+Q7</f>
        <v>3.51190604331136</v>
      </c>
      <c r="T7">
        <f t="shared" ref="T7:T8" ca="1" si="3">1/(1+EXP(-S7))</f>
        <v>0.97102464036839253</v>
      </c>
      <c r="U7" s="8">
        <f t="shared" ref="U7:U8" ca="1" si="4">IF(T7=MAX($T$6:$T$8),1,0)</f>
        <v>0</v>
      </c>
      <c r="V7" s="8">
        <v>2</v>
      </c>
      <c r="W7" s="8">
        <f t="shared" ref="W7:W8" ca="1" si="5">V7*U7</f>
        <v>0</v>
      </c>
      <c r="X7" s="8">
        <f ca="1">IF(V7=target,1,0)</f>
        <v>0</v>
      </c>
      <c r="Y7" s="8">
        <f ca="1">IF(V7=target,2,0)</f>
        <v>0</v>
      </c>
      <c r="Z7" s="8">
        <f ca="1">0.5*(Y7-W7)^2</f>
        <v>0</v>
      </c>
    </row>
    <row r="8" spans="2:26" x14ac:dyDescent="0.25">
      <c r="B8">
        <f ca="1"/>
        <v>4.0113314447592072E-2</v>
      </c>
      <c r="C8">
        <v>0</v>
      </c>
      <c r="D8">
        <f t="shared" ca="1" si="0"/>
        <v>4.0113314447592072E-2</v>
      </c>
      <c r="E8">
        <f t="shared" ca="1" si="1"/>
        <v>0.51002698413132619</v>
      </c>
      <c r="G8" t="s">
        <v>19</v>
      </c>
      <c r="H8">
        <v>-0.55162667618371963</v>
      </c>
      <c r="I8">
        <v>0.65051901241125443</v>
      </c>
      <c r="J8">
        <v>1.0500476208838312</v>
      </c>
      <c r="K8">
        <v>1.066978540035866</v>
      </c>
      <c r="L8">
        <v>0.64004605516506574</v>
      </c>
      <c r="M8">
        <v>1.3570535208403922</v>
      </c>
      <c r="N8">
        <v>1.0253437372073355</v>
      </c>
      <c r="P8" s="6" t="s">
        <v>23</v>
      </c>
      <c r="Q8">
        <f ca="1"/>
        <v>2.8870938389301997</v>
      </c>
      <c r="R8">
        <v>0.67066381452713075</v>
      </c>
      <c r="S8">
        <f t="shared" ca="1" si="2"/>
        <v>3.5577576534573305</v>
      </c>
      <c r="T8">
        <f t="shared" ca="1" si="3"/>
        <v>0.9722872220869978</v>
      </c>
      <c r="U8" s="8">
        <f t="shared" ca="1" si="4"/>
        <v>1</v>
      </c>
      <c r="V8" s="8">
        <v>3</v>
      </c>
      <c r="W8" s="8">
        <f t="shared" ca="1" si="5"/>
        <v>3</v>
      </c>
      <c r="X8" s="8">
        <f ca="1">IF(V8=target,1,0)</f>
        <v>1</v>
      </c>
      <c r="Y8" s="8">
        <f ca="1">IF(V8=target,3,0)</f>
        <v>3</v>
      </c>
      <c r="Z8" s="8">
        <f ca="1">0.5*(Y8-W8)^2</f>
        <v>0</v>
      </c>
    </row>
    <row r="9" spans="2:26" x14ac:dyDescent="0.25">
      <c r="B9">
        <f ca="1"/>
        <v>0.24848914069877243</v>
      </c>
      <c r="C9">
        <v>0</v>
      </c>
      <c r="D9">
        <f t="shared" ca="1" si="0"/>
        <v>0.24848914069877243</v>
      </c>
      <c r="E9">
        <f t="shared" ca="1" si="1"/>
        <v>0.56180459205119571</v>
      </c>
    </row>
    <row r="10" spans="2:26" x14ac:dyDescent="0.25">
      <c r="B10">
        <f ca="1"/>
        <v>0.13408876298394712</v>
      </c>
      <c r="C10">
        <v>0</v>
      </c>
      <c r="D10">
        <f t="shared" ca="1" si="0"/>
        <v>0.13408876298394712</v>
      </c>
      <c r="E10">
        <f t="shared" ca="1" si="1"/>
        <v>0.53347205404190512</v>
      </c>
      <c r="G10" t="s">
        <v>32</v>
      </c>
      <c r="H10">
        <f t="array" aca="1" ref="H10:N10" ca="1">TRANSPOSE(E6:E12)</f>
        <v>0.6361159992603852</v>
      </c>
      <c r="I10">
        <f ca="1"/>
        <v>0.65127444544707092</v>
      </c>
      <c r="J10">
        <f ca="1"/>
        <v>0.51002698413132619</v>
      </c>
      <c r="K10">
        <f ca="1"/>
        <v>0.56180459205119571</v>
      </c>
      <c r="L10">
        <f ca="1"/>
        <v>0.53347205404190512</v>
      </c>
      <c r="M10">
        <f ca="1"/>
        <v>0.56101405564430684</v>
      </c>
      <c r="N10">
        <f ca="1"/>
        <v>0.56231594870776747</v>
      </c>
    </row>
    <row r="11" spans="2:26" x14ac:dyDescent="0.25">
      <c r="B11">
        <f ca="1"/>
        <v>0.24527856468366385</v>
      </c>
      <c r="C11">
        <v>0</v>
      </c>
      <c r="D11">
        <f t="shared" ca="1" si="0"/>
        <v>0.24527856468366385</v>
      </c>
      <c r="E11">
        <f t="shared" ca="1" si="1"/>
        <v>0.56101405564430684</v>
      </c>
      <c r="G11" t="s">
        <v>34</v>
      </c>
      <c r="H11">
        <f ca="1">H$10*$P14</f>
        <v>0</v>
      </c>
      <c r="I11">
        <f t="shared" ref="I11:N11" ca="1" si="6">I$10*$P14</f>
        <v>0</v>
      </c>
      <c r="J11">
        <f t="shared" ca="1" si="6"/>
        <v>0</v>
      </c>
      <c r="K11">
        <f t="shared" ca="1" si="6"/>
        <v>0</v>
      </c>
      <c r="L11">
        <f t="shared" ca="1" si="6"/>
        <v>0</v>
      </c>
      <c r="M11">
        <f t="shared" ca="1" si="6"/>
        <v>0</v>
      </c>
      <c r="N11">
        <f t="shared" ca="1" si="6"/>
        <v>0</v>
      </c>
    </row>
    <row r="12" spans="2:26" x14ac:dyDescent="0.25">
      <c r="B12">
        <f ca="1"/>
        <v>0.25056657223796036</v>
      </c>
      <c r="C12">
        <v>0</v>
      </c>
      <c r="D12">
        <f t="shared" ca="1" si="0"/>
        <v>0.25056657223796036</v>
      </c>
      <c r="E12">
        <f t="shared" ca="1" si="1"/>
        <v>0.56231594870776747</v>
      </c>
      <c r="G12" t="s">
        <v>35</v>
      </c>
      <c r="H12">
        <f ca="1">H$10*$P15</f>
        <v>0</v>
      </c>
      <c r="I12">
        <f t="shared" ref="I12:N12" ca="1" si="7">I$10*$P15</f>
        <v>0</v>
      </c>
      <c r="J12">
        <f t="shared" ca="1" si="7"/>
        <v>0</v>
      </c>
      <c r="K12">
        <f t="shared" ca="1" si="7"/>
        <v>0</v>
      </c>
      <c r="L12">
        <f t="shared" ca="1" si="7"/>
        <v>0</v>
      </c>
      <c r="M12">
        <f t="shared" ca="1" si="7"/>
        <v>0</v>
      </c>
      <c r="N12">
        <f t="shared" ca="1" si="7"/>
        <v>0</v>
      </c>
    </row>
    <row r="13" spans="2:26" x14ac:dyDescent="0.25">
      <c r="G13" t="s">
        <v>33</v>
      </c>
      <c r="H13">
        <f ca="1">H$10*$P16</f>
        <v>0</v>
      </c>
      <c r="I13">
        <f t="shared" ref="I13:N13" ca="1" si="8">I$10*$P16</f>
        <v>0</v>
      </c>
      <c r="J13">
        <f t="shared" ca="1" si="8"/>
        <v>0</v>
      </c>
      <c r="K13">
        <f t="shared" ca="1" si="8"/>
        <v>0</v>
      </c>
      <c r="L13">
        <f t="shared" ca="1" si="8"/>
        <v>0</v>
      </c>
      <c r="M13">
        <f t="shared" ca="1" si="8"/>
        <v>0</v>
      </c>
      <c r="N13">
        <f t="shared" ca="1" si="8"/>
        <v>0</v>
      </c>
      <c r="P13" t="s">
        <v>39</v>
      </c>
      <c r="Q13" t="s">
        <v>38</v>
      </c>
      <c r="R13" t="s">
        <v>37</v>
      </c>
    </row>
    <row r="14" spans="2:26" x14ac:dyDescent="0.25">
      <c r="P14">
        <f ca="1">Q14*R14</f>
        <v>0</v>
      </c>
      <c r="Q14">
        <f ca="1">T6*(1-T6)</f>
        <v>2.7731252140333632E-2</v>
      </c>
      <c r="R14">
        <f ca="1">-(Y6-W6)</f>
        <v>0</v>
      </c>
    </row>
    <row r="15" spans="2:26" x14ac:dyDescent="0.25">
      <c r="G15" t="s">
        <v>40</v>
      </c>
      <c r="P15">
        <f ca="1">Q15*R15</f>
        <v>0</v>
      </c>
      <c r="Q15">
        <f ca="1">T7*(1-T7)</f>
        <v>2.8135788165826479E-2</v>
      </c>
      <c r="R15">
        <f ca="1">-(Y7-W7)</f>
        <v>0</v>
      </c>
    </row>
    <row r="16" spans="2:26" x14ac:dyDescent="0.25">
      <c r="G16" t="s">
        <v>42</v>
      </c>
      <c r="H16">
        <f t="shared" ref="H16:N18" ca="1" si="9">H6-H11*learning_rate</f>
        <v>0.46086911935697683</v>
      </c>
      <c r="I16">
        <f t="shared" ca="1" si="9"/>
        <v>0.88090929597533651</v>
      </c>
      <c r="J16">
        <f t="shared" ca="1" si="9"/>
        <v>1.1520914814520271</v>
      </c>
      <c r="K16">
        <f t="shared" ca="1" si="9"/>
        <v>0.68961005074632564</v>
      </c>
      <c r="L16">
        <f t="shared" ca="1" si="9"/>
        <v>0.96137490323059338</v>
      </c>
      <c r="M16">
        <f t="shared" ca="1" si="9"/>
        <v>0.47876370012257868</v>
      </c>
      <c r="N16">
        <f t="shared" ca="1" si="9"/>
        <v>0.64489695317134488</v>
      </c>
      <c r="P16">
        <f ca="1">Q16*R16</f>
        <v>0</v>
      </c>
      <c r="Q16">
        <f ca="1">T8*(1-T8)</f>
        <v>2.6944779853346812E-2</v>
      </c>
      <c r="R16">
        <f ca="1">-(Y8-W8)</f>
        <v>0</v>
      </c>
    </row>
    <row r="17" spans="7:14" x14ac:dyDescent="0.25">
      <c r="G17" t="s">
        <v>43</v>
      </c>
      <c r="H17">
        <f t="shared" ca="1" si="9"/>
        <v>1.244011800872683</v>
      </c>
      <c r="I17">
        <f t="shared" ca="1" si="9"/>
        <v>0.75745237068477467</v>
      </c>
      <c r="J17">
        <f t="shared" ca="1" si="9"/>
        <v>0.44281650769159731</v>
      </c>
      <c r="K17">
        <f t="shared" ca="1" si="9"/>
        <v>0.43522040711472876</v>
      </c>
      <c r="L17">
        <f t="shared" ca="1" si="9"/>
        <v>0.18376722504572537</v>
      </c>
      <c r="M17">
        <f t="shared" ca="1" si="9"/>
        <v>0.72870288176056197</v>
      </c>
      <c r="N17">
        <f t="shared" ca="1" si="9"/>
        <v>1.2682185414462821</v>
      </c>
    </row>
    <row r="18" spans="7:14" x14ac:dyDescent="0.25">
      <c r="G18" t="s">
        <v>44</v>
      </c>
      <c r="H18">
        <f t="shared" ca="1" si="9"/>
        <v>-0.55162667618371963</v>
      </c>
      <c r="I18">
        <f t="shared" ca="1" si="9"/>
        <v>0.65051901241125443</v>
      </c>
      <c r="J18">
        <f t="shared" ca="1" si="9"/>
        <v>1.0500476208838312</v>
      </c>
      <c r="K18">
        <f t="shared" ca="1" si="9"/>
        <v>1.066978540035866</v>
      </c>
      <c r="L18">
        <f t="shared" ca="1" si="9"/>
        <v>0.64004605516506574</v>
      </c>
      <c r="M18">
        <f t="shared" ca="1" si="9"/>
        <v>1.3570535208403922</v>
      </c>
      <c r="N18">
        <f t="shared" ca="1" si="9"/>
        <v>1.0253437372073355</v>
      </c>
    </row>
  </sheetData>
  <phoneticPr fontId="4" type="noConversion"/>
  <pageMargins left="0.7" right="0.7" top="0.78740157499999996" bottom="0.78740157499999996" header="0.3" footer="0.3"/>
  <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201216CC-A3B5-446F-A985-A3049A677606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3</vt:i4>
      </vt:variant>
      <vt:variant>
        <vt:lpstr>Benannte Bereiche</vt:lpstr>
      </vt:variant>
      <vt:variant>
        <vt:i4>13</vt:i4>
      </vt:variant>
    </vt:vector>
  </HeadingPairs>
  <TitlesOfParts>
    <vt:vector size="16" baseType="lpstr">
      <vt:lpstr>raw</vt:lpstr>
      <vt:lpstr>pred</vt:lpstr>
      <vt:lpstr>nn_base</vt:lpstr>
      <vt:lpstr>bias_input</vt:lpstr>
      <vt:lpstr>count_correct</vt:lpstr>
      <vt:lpstr>count_false</vt:lpstr>
      <vt:lpstr>error</vt:lpstr>
      <vt:lpstr>gradients_hidden</vt:lpstr>
      <vt:lpstr>guesses</vt:lpstr>
      <vt:lpstr>iterations</vt:lpstr>
      <vt:lpstr>learning_rate</vt:lpstr>
      <vt:lpstr>new_weights_hidden</vt:lpstr>
      <vt:lpstr>preditctor</vt:lpstr>
      <vt:lpstr>rawData</vt:lpstr>
      <vt:lpstr>target</vt:lpstr>
      <vt:lpstr>weights_hidden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Paul</dc:creator>
  <cp:lastModifiedBy> </cp:lastModifiedBy>
  <dcterms:created xsi:type="dcterms:W3CDTF">2021-01-19T20:49:22Z</dcterms:created>
  <dcterms:modified xsi:type="dcterms:W3CDTF">2021-02-06T10:28:39Z</dcterms:modified>
</cp:coreProperties>
</file>